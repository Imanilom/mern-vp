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Episode Windows" sheetId="2" state="visible" r:id="rId4"/>
    <sheet name="Transition Counts" sheetId="3" state="visible" r:id="rId5"/>
    <sheet name="Transition Matrix" sheetId="4" state="visible" r:id="rId6"/>
    <sheet name="Predic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<sst xmlns="http://schemas.openxmlformats.org/spreadsheetml/2006/main" count="876" uniqueCount="309">
  <si>
    <t xml:space="preserve">CAPAR — Guarded Personal First-Order Markov Model</t>
  </si>
  <si>
    <t xml:space="preserve">Peserta 4 (peserta4@gmail.com) — user_id 6a7e4feca6e8c17678a91e92</t>
  </si>
  <si>
    <t xml:space="preserve">Sumber logika model:</t>
  </si>
  <si>
    <t xml:space="preserve">capar.markov.js — PersonalMarkovModel (Dirichlet smoothing, guarded FSM transitions)</t>
  </si>
  <si>
    <t xml:space="preserve">Parameter</t>
  </si>
  <si>
    <t xml:space="preserve">Nilai</t>
  </si>
  <si>
    <t xml:space="preserve">Catatan</t>
  </si>
  <si>
    <t xml:space="preserve">Jumlah episode dianalisis</t>
  </si>
  <si>
    <t xml:space="preserve">episode_id 0–3</t>
  </si>
  <si>
    <t xml:space="preserve">Jumlah window (baris episodeanalyses)</t>
  </si>
  <si>
    <t xml:space="preserve">seluruh window dari 4 episode</t>
  </si>
  <si>
    <t xml:space="preserve">Dirichlet smoothing alpha</t>
  </si>
  <si>
    <t xml:space="preserve">sesuai default di capar.markov.js</t>
  </si>
  <si>
    <t xml:space="preserve">Window quality gate</t>
  </si>
  <si>
    <t xml:space="preserve">quality_gate_pass = 1</t>
  </si>
  <si>
    <t xml:space="preserve">window dengan quality_gate_pass = 0 diabaikan (sesuai w.quality_ok === false di JS)</t>
  </si>
  <si>
    <t xml:space="preserve">Status verified episode</t>
  </si>
  <si>
    <t xml:space="preserve">diasumsikan verified</t>
  </si>
  <si>
    <t xml:space="preserve">dataset test tidak memiliki field verified/status level-episode; seluruh 4 episode disertakan</t>
  </si>
  <si>
    <t xml:space="preserve">Daftar sheet:</t>
  </si>
  <si>
    <t xml:space="preserve">Episode Windows</t>
  </si>
  <si>
    <t xml:space="preserve">Seluruh window mentah (state per 2-menit) untuk Peserta 4, sumber untuk semua perhitungan</t>
  </si>
  <si>
    <t xml:space="preserve">Transition Counts</t>
  </si>
  <si>
    <t xml:space="preserve">Matriks jumlah transisi valid antar state (formula COUNTIFS dari Episode Windows)</t>
  </si>
  <si>
    <t xml:space="preserve">Transition Matrix</t>
  </si>
  <si>
    <t xml:space="preserve">Matriks probabilitas P(S_t+1=j | S_t=i) dengan Dirichlet smoothing</t>
  </si>
  <si>
    <t xml:space="preserve">Predictions</t>
  </si>
  <si>
    <t xml:space="preserve">Prediksi multi-step (+1, +3, +6 window) dari state terakhir Peserta 4 via P^h</t>
  </si>
  <si>
    <t xml:space="preserve">episode_id</t>
  </si>
  <si>
    <t xml:space="preserve">seq</t>
  </si>
  <si>
    <t xml:space="preserve">start_time</t>
  </si>
  <si>
    <t xml:space="preserve">end_time</t>
  </si>
  <si>
    <t xml:space="preserve">raw_state (physiological_state)</t>
  </si>
  <si>
    <t xml:space="preserve">quality_gate_pass</t>
  </si>
  <si>
    <t xml:space="preserve">included (quality_ok)</t>
  </si>
  <si>
    <t xml:space="preserve">norm_state</t>
  </si>
  <si>
    <t xml:space="preserve">next_norm_state (same episode)</t>
  </si>
  <si>
    <t xml:space="preserve">transition_valid</t>
  </si>
  <si>
    <t xml:space="preserve">2026-01-01T08:00:00</t>
  </si>
  <si>
    <t xml:space="preserve">2026-01-01T08:02:00</t>
  </si>
  <si>
    <t xml:space="preserve">BASELINE_COMPATIBLE</t>
  </si>
  <si>
    <t xml:space="preserve">2026-01-01T08:04:00</t>
  </si>
  <si>
    <t xml:space="preserve">2026-01-01T08:06:00</t>
  </si>
  <si>
    <t xml:space="preserve">2026-01-01T08:08:00</t>
  </si>
  <si>
    <t xml:space="preserve">2026-01-01T08:10:00</t>
  </si>
  <si>
    <t xml:space="preserve">2026-01-01T08:12:00</t>
  </si>
  <si>
    <t xml:space="preserve">2026-01-01T08:14:00</t>
  </si>
  <si>
    <t xml:space="preserve">2026-01-01T08:16:00</t>
  </si>
  <si>
    <t xml:space="preserve">2026-01-01T08:18:00</t>
  </si>
  <si>
    <t xml:space="preserve">2026-01-01T08:20:00</t>
  </si>
  <si>
    <t xml:space="preserve">2026-01-01T08:22:00</t>
  </si>
  <si>
    <t xml:space="preserve">2026-01-01T08:24:00</t>
  </si>
  <si>
    <t xml:space="preserve">2026-01-01T08:26:00</t>
  </si>
  <si>
    <t xml:space="preserve">2026-01-01T08:28:00</t>
  </si>
  <si>
    <t xml:space="preserve">2026-01-01T08:30:00</t>
  </si>
  <si>
    <t xml:space="preserve">2026-01-01T08:32:00</t>
  </si>
  <si>
    <t xml:space="preserve">2026-01-01T08:34:00</t>
  </si>
  <si>
    <t xml:space="preserve">2026-01-01T08:36:00</t>
  </si>
  <si>
    <t xml:space="preserve">2026-01-01T08:38:00</t>
  </si>
  <si>
    <t xml:space="preserve">2026-01-01T08:40:00</t>
  </si>
  <si>
    <t xml:space="preserve">2026-01-01T08:42:00</t>
  </si>
  <si>
    <t xml:space="preserve">2026-01-01T08:44:00</t>
  </si>
  <si>
    <t xml:space="preserve">2026-01-01T08:46:00</t>
  </si>
  <si>
    <t xml:space="preserve">2026-01-01T08:48:00</t>
  </si>
  <si>
    <t xml:space="preserve">2026-01-01T08:50:00</t>
  </si>
  <si>
    <t xml:space="preserve">2026-01-01T08:52:00</t>
  </si>
  <si>
    <t xml:space="preserve">2026-01-01T08:54:00</t>
  </si>
  <si>
    <t xml:space="preserve">2026-01-01T08:56:00</t>
  </si>
  <si>
    <t xml:space="preserve">2026-01-01T08:58:00</t>
  </si>
  <si>
    <t xml:space="preserve">2026-01-01T09:00:00</t>
  </si>
  <si>
    <t xml:space="preserve">2026-01-01T09:28:00</t>
  </si>
  <si>
    <t xml:space="preserve">2026-01-01T09:30:00</t>
  </si>
  <si>
    <t xml:space="preserve">2026-01-01T09:32:00</t>
  </si>
  <si>
    <t xml:space="preserve">2026-01-01T09:34:00</t>
  </si>
  <si>
    <t xml:space="preserve">2026-01-01T09:36:00</t>
  </si>
  <si>
    <t xml:space="preserve">2026-01-01T09:38:00</t>
  </si>
  <si>
    <t xml:space="preserve">2026-01-01T09:40:00</t>
  </si>
  <si>
    <t xml:space="preserve">2026-01-01T09:42:00</t>
  </si>
  <si>
    <t xml:space="preserve">2026-01-01T09:44:00</t>
  </si>
  <si>
    <t xml:space="preserve">2026-01-01T09:46:00</t>
  </si>
  <si>
    <t xml:space="preserve">2026-01-01T09:48:00</t>
  </si>
  <si>
    <t xml:space="preserve">2026-01-01T09:50:00</t>
  </si>
  <si>
    <t xml:space="preserve">2026-01-01T09:52:00</t>
  </si>
  <si>
    <t xml:space="preserve">2026-01-01T09:54:00</t>
  </si>
  <si>
    <t xml:space="preserve">2026-01-01T09:56:00</t>
  </si>
  <si>
    <t xml:space="preserve">2026-01-01T09:58:00</t>
  </si>
  <si>
    <t xml:space="preserve">2026-01-01T10:00:00</t>
  </si>
  <si>
    <t xml:space="preserve">2026-01-01T10:02:00</t>
  </si>
  <si>
    <t xml:space="preserve">2026-01-01T10:04:00</t>
  </si>
  <si>
    <t xml:space="preserve">2026-01-01T10:06:00</t>
  </si>
  <si>
    <t xml:space="preserve">2026-01-01T10:08:00</t>
  </si>
  <si>
    <t xml:space="preserve">2026-01-01T10:10:00</t>
  </si>
  <si>
    <t xml:space="preserve">2026-01-01T10:12:00</t>
  </si>
  <si>
    <t xml:space="preserve">2026-01-01T10:14:00</t>
  </si>
  <si>
    <t xml:space="preserve">2026-01-01T10:16:00</t>
  </si>
  <si>
    <t xml:space="preserve">2026-01-01T10:18:00</t>
  </si>
  <si>
    <t xml:space="preserve">2026-01-01T10:20:00</t>
  </si>
  <si>
    <t xml:space="preserve">2026-01-01T10:22:00</t>
  </si>
  <si>
    <t xml:space="preserve">2026-01-01T10:24:00</t>
  </si>
  <si>
    <t xml:space="preserve">2026-01-01T10:26:00</t>
  </si>
  <si>
    <t xml:space="preserve">2026-01-01T10:28:00</t>
  </si>
  <si>
    <t xml:space="preserve">2026-01-01T10:30:00</t>
  </si>
  <si>
    <t xml:space="preserve">2026-01-01T10:32:00</t>
  </si>
  <si>
    <t xml:space="preserve">2026-01-01T10:34:00</t>
  </si>
  <si>
    <t xml:space="preserve">2026-01-01T10:36:00</t>
  </si>
  <si>
    <t xml:space="preserve">2026-01-01T10:38:00</t>
  </si>
  <si>
    <t xml:space="preserve">2026-01-01T10:40:00</t>
  </si>
  <si>
    <t xml:space="preserve">2026-01-01T10:42:00</t>
  </si>
  <si>
    <t xml:space="preserve">2026-01-01T10:44:00</t>
  </si>
  <si>
    <t xml:space="preserve">2026-01-01T10:46:00</t>
  </si>
  <si>
    <t xml:space="preserve">2026-01-01T10:48:00</t>
  </si>
  <si>
    <t xml:space="preserve">2026-01-01T10:50:00</t>
  </si>
  <si>
    <t xml:space="preserve">2026-01-01T10:52:00</t>
  </si>
  <si>
    <t xml:space="preserve">2026-01-01T10:54:00</t>
  </si>
  <si>
    <t xml:space="preserve">2026-01-01T10:56:00</t>
  </si>
  <si>
    <t xml:space="preserve">2026-01-01T10:58:00</t>
  </si>
  <si>
    <t xml:space="preserve">2026-01-01T11:00:00</t>
  </si>
  <si>
    <t xml:space="preserve">2026-01-01T11:02:00</t>
  </si>
  <si>
    <t xml:space="preserve">2026-01-01T11:04:00</t>
  </si>
  <si>
    <t xml:space="preserve">2026-01-01T11:06:00</t>
  </si>
  <si>
    <t xml:space="preserve">2026-01-01T11:08:00</t>
  </si>
  <si>
    <t xml:space="preserve">2026-01-01T11:10:00</t>
  </si>
  <si>
    <t xml:space="preserve">2026-01-01T11:12:00</t>
  </si>
  <si>
    <t xml:space="preserve">2026-01-01T11:14:00</t>
  </si>
  <si>
    <t xml:space="preserve">2026-01-01T11:16:00</t>
  </si>
  <si>
    <t xml:space="preserve">2026-01-01T11:18:00</t>
  </si>
  <si>
    <t xml:space="preserve">2026-01-01T11:20:00</t>
  </si>
  <si>
    <t xml:space="preserve">2026-01-01T11:22:00</t>
  </si>
  <si>
    <t xml:space="preserve">2026-01-01T11:24:00</t>
  </si>
  <si>
    <t xml:space="preserve">2026-01-01T11:26:00</t>
  </si>
  <si>
    <t xml:space="preserve">2026-01-01T11:28:00</t>
  </si>
  <si>
    <t xml:space="preserve">2026-01-01T11:30:00</t>
  </si>
  <si>
    <t xml:space="preserve">2026-01-01T11:32:00</t>
  </si>
  <si>
    <t xml:space="preserve">2026-01-01T11:34:00</t>
  </si>
  <si>
    <t xml:space="preserve">2026-01-01T11:36:00</t>
  </si>
  <si>
    <t xml:space="preserve">2026-01-01T12:08:00</t>
  </si>
  <si>
    <t xml:space="preserve">2026-01-01T12:10:00</t>
  </si>
  <si>
    <t xml:space="preserve">2026-01-01T12:12:00</t>
  </si>
  <si>
    <t xml:space="preserve">2026-01-01T12:14:00</t>
  </si>
  <si>
    <t xml:space="preserve">2026-01-01T12:16:00</t>
  </si>
  <si>
    <t xml:space="preserve">2026-01-01T12:18:00</t>
  </si>
  <si>
    <t xml:space="preserve">2026-01-01T12:20:00</t>
  </si>
  <si>
    <t xml:space="preserve">2026-01-01T12:22:00</t>
  </si>
  <si>
    <t xml:space="preserve">2026-01-01T12:24:00</t>
  </si>
  <si>
    <t xml:space="preserve">2026-01-01T12:26:00</t>
  </si>
  <si>
    <t xml:space="preserve">2026-01-01T12:28:00</t>
  </si>
  <si>
    <t xml:space="preserve">2026-01-01T12:30:00</t>
  </si>
  <si>
    <t xml:space="preserve">2026-01-01T12:32:00</t>
  </si>
  <si>
    <t xml:space="preserve">2026-01-01T12:34:00</t>
  </si>
  <si>
    <t xml:space="preserve">2026-01-01T12:36:00</t>
  </si>
  <si>
    <t xml:space="preserve">2026-01-01T12:38:00</t>
  </si>
  <si>
    <t xml:space="preserve">2026-01-01T12:40:00</t>
  </si>
  <si>
    <t xml:space="preserve">2026-01-01T12:42:00</t>
  </si>
  <si>
    <t xml:space="preserve">2026-01-01T12:44:00</t>
  </si>
  <si>
    <t xml:space="preserve">2026-01-01T12:46:00</t>
  </si>
  <si>
    <t xml:space="preserve">2026-01-01T12:48:00</t>
  </si>
  <si>
    <t xml:space="preserve">2026-01-01T12:50:00</t>
  </si>
  <si>
    <t xml:space="preserve">2026-01-01T12:52:00</t>
  </si>
  <si>
    <t xml:space="preserve">2026-01-01T12:54:00</t>
  </si>
  <si>
    <t xml:space="preserve">2026-01-01T12:56:00</t>
  </si>
  <si>
    <t xml:space="preserve">2026-01-01T12:58:00</t>
  </si>
  <si>
    <t xml:space="preserve">2026-01-01T13:00:00</t>
  </si>
  <si>
    <t xml:space="preserve">2026-01-01T13:02:00</t>
  </si>
  <si>
    <t xml:space="preserve">2026-01-01T13:04:00</t>
  </si>
  <si>
    <t xml:space="preserve">2026-01-01T13:06:00</t>
  </si>
  <si>
    <t xml:space="preserve">2026-01-01T13:08:00</t>
  </si>
  <si>
    <t xml:space="preserve">2026-01-01T13:10:00</t>
  </si>
  <si>
    <t xml:space="preserve">2026-01-01T13:12:00</t>
  </si>
  <si>
    <t xml:space="preserve">2026-01-01T13:14:00</t>
  </si>
  <si>
    <t xml:space="preserve">2026-01-01T13:16:00</t>
  </si>
  <si>
    <t xml:space="preserve">2026-01-01T13:18:00</t>
  </si>
  <si>
    <t xml:space="preserve">2026-01-01T13:20:00</t>
  </si>
  <si>
    <t xml:space="preserve">2026-01-01T13:22:00</t>
  </si>
  <si>
    <t xml:space="preserve">2026-01-01T13:24:00</t>
  </si>
  <si>
    <t xml:space="preserve">2026-01-01T13:26:00</t>
  </si>
  <si>
    <t xml:space="preserve">2026-01-01T13:28:00</t>
  </si>
  <si>
    <t xml:space="preserve">2026-01-01T13:30:00</t>
  </si>
  <si>
    <t xml:space="preserve">2026-01-01T13:32:00</t>
  </si>
  <si>
    <t xml:space="preserve">2026-01-01T13:34:00</t>
  </si>
  <si>
    <t xml:space="preserve">2026-01-01T13:36:00</t>
  </si>
  <si>
    <t xml:space="preserve">2026-01-01T13:38:00</t>
  </si>
  <si>
    <t xml:space="preserve">2026-01-01T13:40:00</t>
  </si>
  <si>
    <t xml:space="preserve">2026-01-01T13:42:00</t>
  </si>
  <si>
    <t xml:space="preserve">2026-01-01T13:44:00</t>
  </si>
  <si>
    <t xml:space="preserve">2026-01-01T13:46:00</t>
  </si>
  <si>
    <t xml:space="preserve">2026-01-01T13:48:00</t>
  </si>
  <si>
    <t xml:space="preserve">2026-01-01T13:50:00</t>
  </si>
  <si>
    <t xml:space="preserve">2026-01-01T13:52:00</t>
  </si>
  <si>
    <t xml:space="preserve">2026-01-01T13:54:00</t>
  </si>
  <si>
    <t xml:space="preserve">2026-01-01T13:56:00</t>
  </si>
  <si>
    <t xml:space="preserve">2026-01-01T13:58:00</t>
  </si>
  <si>
    <t xml:space="preserve">2026-01-01T14:00:00</t>
  </si>
  <si>
    <t xml:space="preserve">2026-01-01T14:02:00</t>
  </si>
  <si>
    <t xml:space="preserve">2026-01-01T14:04:00</t>
  </si>
  <si>
    <t xml:space="preserve">2026-01-01T14:06:00</t>
  </si>
  <si>
    <t xml:space="preserve">2026-01-01T14:08:00</t>
  </si>
  <si>
    <t xml:space="preserve">2026-01-01T14:36:00</t>
  </si>
  <si>
    <t xml:space="preserve">2026-01-01T14:38:00</t>
  </si>
  <si>
    <t xml:space="preserve">2026-01-01T14:40:00</t>
  </si>
  <si>
    <t xml:space="preserve">2026-01-01T14:42:00</t>
  </si>
  <si>
    <t xml:space="preserve">2026-01-01T14:44:00</t>
  </si>
  <si>
    <t xml:space="preserve">2026-01-01T14:46:00</t>
  </si>
  <si>
    <t xml:space="preserve">2026-01-01T14:48:00</t>
  </si>
  <si>
    <t xml:space="preserve">2026-01-01T14:50:00</t>
  </si>
  <si>
    <t xml:space="preserve">2026-01-01T14:52:00</t>
  </si>
  <si>
    <t xml:space="preserve">2026-01-01T14:54:00</t>
  </si>
  <si>
    <t xml:space="preserve">2026-01-01T14:56:00</t>
  </si>
  <si>
    <t xml:space="preserve">2026-01-01T14:58:00</t>
  </si>
  <si>
    <t xml:space="preserve">2026-01-01T15:00:00</t>
  </si>
  <si>
    <t xml:space="preserve">2026-01-01T15:02:00</t>
  </si>
  <si>
    <t xml:space="preserve">2026-01-01T15:04:00</t>
  </si>
  <si>
    <t xml:space="preserve">2026-01-01T15:06:00</t>
  </si>
  <si>
    <t xml:space="preserve">2026-01-01T15:08:00</t>
  </si>
  <si>
    <t xml:space="preserve">2026-01-01T15:10:00</t>
  </si>
  <si>
    <t xml:space="preserve">2026-01-01T15:12:00</t>
  </si>
  <si>
    <t xml:space="preserve">2026-01-01T15:14:00</t>
  </si>
  <si>
    <t xml:space="preserve">2026-01-01T15:16:00</t>
  </si>
  <si>
    <t xml:space="preserve">2026-01-01T15:18:00</t>
  </si>
  <si>
    <t xml:space="preserve">2026-01-01T15:20:00</t>
  </si>
  <si>
    <t xml:space="preserve">2026-01-01T15:22:00</t>
  </si>
  <si>
    <t xml:space="preserve">2026-01-01T15:24:00</t>
  </si>
  <si>
    <t xml:space="preserve">2026-01-01T15:26:00</t>
  </si>
  <si>
    <t xml:space="preserve">2026-01-01T15:28:00</t>
  </si>
  <si>
    <t xml:space="preserve">2026-01-01T15:30:00</t>
  </si>
  <si>
    <t xml:space="preserve">2026-01-01T15:32:00</t>
  </si>
  <si>
    <t xml:space="preserve">2026-01-01T15:34:00</t>
  </si>
  <si>
    <t xml:space="preserve">2026-01-01T15:36:00</t>
  </si>
  <si>
    <t xml:space="preserve">2026-01-01T15:38:00</t>
  </si>
  <si>
    <t xml:space="preserve">2026-01-01T15:40:00</t>
  </si>
  <si>
    <t xml:space="preserve">2026-01-01T15:42:00</t>
  </si>
  <si>
    <t xml:space="preserve">2026-01-01T15:44:00</t>
  </si>
  <si>
    <t xml:space="preserve">2026-01-01T15:46:00</t>
  </si>
  <si>
    <t xml:space="preserve">2026-01-01T15:48:00</t>
  </si>
  <si>
    <t xml:space="preserve">2026-01-01T15:50:00</t>
  </si>
  <si>
    <t xml:space="preserve">2026-01-01T15:52:00</t>
  </si>
  <si>
    <t xml:space="preserve">2026-01-01T15:54:00</t>
  </si>
  <si>
    <t xml:space="preserve">2026-01-01T15:56:00</t>
  </si>
  <si>
    <t xml:space="preserve">2026-01-01T15:58:00</t>
  </si>
  <si>
    <t xml:space="preserve">2026-01-01T16:00:00</t>
  </si>
  <si>
    <t xml:space="preserve">2026-01-01T09:02:00</t>
  </si>
  <si>
    <t xml:space="preserve">DEVIATION_CANDIDATE</t>
  </si>
  <si>
    <t xml:space="preserve">2026-01-01T09:04:00</t>
  </si>
  <si>
    <t xml:space="preserve">PERSISTENT_DEVIATION</t>
  </si>
  <si>
    <t xml:space="preserve">2026-01-01T09:06:00</t>
  </si>
  <si>
    <t xml:space="preserve">2026-01-01T09:08:00</t>
  </si>
  <si>
    <t xml:space="preserve">2026-01-01T09:10:00</t>
  </si>
  <si>
    <t xml:space="preserve">2026-01-01T09:12:00</t>
  </si>
  <si>
    <t xml:space="preserve">2026-01-01T09:14:00</t>
  </si>
  <si>
    <t xml:space="preserve">2026-01-01T09:16:00</t>
  </si>
  <si>
    <t xml:space="preserve">2026-01-01T09:18:00</t>
  </si>
  <si>
    <t xml:space="preserve">2026-01-01T09:20:00</t>
  </si>
  <si>
    <t xml:space="preserve">2026-01-01T09:22:00</t>
  </si>
  <si>
    <t xml:space="preserve">2026-01-01T09:24:00</t>
  </si>
  <si>
    <t xml:space="preserve">RECOVERY</t>
  </si>
  <si>
    <t xml:space="preserve">2026-01-01T09:26:00</t>
  </si>
  <si>
    <t xml:space="preserve">RECOVERED</t>
  </si>
  <si>
    <t xml:space="preserve">2026-01-01T11:38:00</t>
  </si>
  <si>
    <t xml:space="preserve">2026-01-01T11:40:00</t>
  </si>
  <si>
    <t xml:space="preserve">2026-01-01T11:42:00</t>
  </si>
  <si>
    <t xml:space="preserve">2026-01-01T11:44:00</t>
  </si>
  <si>
    <t xml:space="preserve">2026-01-01T11:46:00</t>
  </si>
  <si>
    <t xml:space="preserve">2026-01-01T11:48:00</t>
  </si>
  <si>
    <t xml:space="preserve">2026-01-01T11:50:00</t>
  </si>
  <si>
    <t xml:space="preserve">2026-01-01T11:52:00</t>
  </si>
  <si>
    <t xml:space="preserve">2026-01-01T11:54:00</t>
  </si>
  <si>
    <t xml:space="preserve">2026-01-01T11:56:00</t>
  </si>
  <si>
    <t xml:space="preserve">2026-01-01T11:58:00</t>
  </si>
  <si>
    <t xml:space="preserve">2026-01-01T12:00:00</t>
  </si>
  <si>
    <t xml:space="preserve">2026-01-01T12:02:00</t>
  </si>
  <si>
    <t xml:space="preserve">2026-01-01T12:04:00</t>
  </si>
  <si>
    <t xml:space="preserve">2026-01-01T12:06:00</t>
  </si>
  <si>
    <t xml:space="preserve">2026-01-01T14:10:00</t>
  </si>
  <si>
    <t xml:space="preserve">2026-01-01T14:12:00</t>
  </si>
  <si>
    <t xml:space="preserve">2026-01-01T14:14:00</t>
  </si>
  <si>
    <t xml:space="preserve">2026-01-01T14:16:00</t>
  </si>
  <si>
    <t xml:space="preserve">2026-01-01T14:18:00</t>
  </si>
  <si>
    <t xml:space="preserve">2026-01-01T14:20:00</t>
  </si>
  <si>
    <t xml:space="preserve">2026-01-01T14:22:00</t>
  </si>
  <si>
    <t xml:space="preserve">2026-01-01T14:24:00</t>
  </si>
  <si>
    <t xml:space="preserve">2026-01-01T14:26:00</t>
  </si>
  <si>
    <t xml:space="preserve">2026-01-01T14:28:00</t>
  </si>
  <si>
    <t xml:space="preserve">2026-01-01T14:30:00</t>
  </si>
  <si>
    <t xml:space="preserve">2026-01-01T14:32:00</t>
  </si>
  <si>
    <t xml:space="preserve">2026-01-01T14:34:00</t>
  </si>
  <si>
    <t xml:space="preserve">Transition Counts — hanya dihitung untuk transisi 2 window berurutan dalam episode yang sama &amp; lolos quality gate (transition_valid=1)</t>
  </si>
  <si>
    <t xml:space="preserve">from \ to</t>
  </si>
  <si>
    <t xml:space="preserve">RECOVERY_START</t>
  </si>
  <si>
    <t xml:space="preserve">Catatan: total baris (denominator) dihitung langsung di sheet 'Transition Matrix'.</t>
  </si>
  <si>
    <t xml:space="preserve">(disusun per kolom state di bawah judul state masing2)</t>
  </si>
  <si>
    <t xml:space="preserve">Transition probability matrix P(S_t+1=j | S_t=i) — Dirichlet smoothing alpha = 0.5. '—' = transisi dilarang FSM (probability = null).</t>
  </si>
  <si>
    <t xml:space="preserve">alpha =</t>
  </si>
  <si>
    <t xml:space="preserve">Numeric matrix (0 menggantikan '—', dipakai untuk MMULT / P^h)</t>
  </si>
  <si>
    <t xml:space="preserve">—</t>
  </si>
  <si>
    <t xml:space="preserve">Multi-step prediction (+h window) — P(S_(t+h)=j | S_t=i) dihitung via P^h (matrix power), sesuai predict() di capar.markov.js</t>
  </si>
  <si>
    <t xml:space="preserve">Current state Peserta 4 (window terakhir):</t>
  </si>
  <si>
    <t xml:space="preserve">Waktu window terakhir (end_time):</t>
  </si>
  <si>
    <t xml:space="preserve">Current state vector (one-hot):</t>
  </si>
  <si>
    <t xml:space="preserve">P^1  (= transition matrix, satu langkah / +1 window)</t>
  </si>
  <si>
    <t xml:space="preserve">P^2  (dua langkah / +2 window)</t>
  </si>
  <si>
    <t xml:space="preserve">P^3  (tiga langkah / +3 window, ~6 menit)</t>
  </si>
  <si>
    <t xml:space="preserve">P^6  (enam langkah / +6 window, ~12 menit)</t>
  </si>
  <si>
    <t xml:space="preserve">Ringkasan prediksi horizon (dari state saat ini, vector @ P^h)</t>
  </si>
  <si>
    <t xml:space="preserve">Horizon (h)</t>
  </si>
  <si>
    <t xml:space="preserve">~Durasi</t>
  </si>
  <si>
    <t xml:space="preserve">Predicted state</t>
  </si>
  <si>
    <t xml:space="preserve">Confidence</t>
  </si>
  <si>
    <t xml:space="preserve">~2 menit</t>
  </si>
  <si>
    <t xml:space="preserve">~6 menit</t>
  </si>
  <si>
    <t xml:space="preserve">~12 menit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</si>
</sst>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00"/>
    <numFmt numFmtId="167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i val="true"/>
      <sz val="9"/>
      <color rgb="FF888888"/>
      <name val="Arial"/>
      <family val="0"/>
      <charset val="1"/>
    </font>
    <font>
      <i val="true"/>
      <sz val="8"/>
      <color rgb="FF88888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FEFEF"/>
        <bgColor rgb="FFE2EFDA"/>
      </patternFill>
    </fill>
    <fill>
      <patternFill patternType="solid">
        <fgColor rgb="FFE2EFDA"/>
        <bgColor rgb="FFEFEFEF"/>
      </patternFill>
    </fill>
    <fill>
      <patternFill patternType="solid">
        <fgColor rgb="FFC6E0B4"/>
        <bgColor rgb="FFE2EFDA"/>
      </patternFill>
    </fill>
    <fill>
      <patternFill patternType="solid">
        <fgColor rgb="FFFFF2CC"/>
        <bgColor rgb="FFEFEF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88888"/>
      <rgbColor rgb="FF9999FF"/>
      <rgbColor rgb="FF993366"/>
      <rgbColor rgb="FFFFF2CC"/>
      <rgbColor rgb="FFEFEFEF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30"/>
    <col collapsed="false" customWidth="true" hidden="false" outlineLevel="0" max="4" min="4" style="0" width="6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7" customFormat="false" ht="15" hidden="false" customHeight="false" outlineLevel="0" collapsed="false">
      <c r="B7" s="5" t="s">
        <v>4</v>
      </c>
      <c r="C7" s="5" t="s">
        <v>5</v>
      </c>
      <c r="D7" s="5" t="s">
        <v>6</v>
      </c>
    </row>
    <row r="8" customFormat="false" ht="15" hidden="false" customHeight="false" outlineLevel="0" collapsed="false">
      <c r="B8" s="6" t="s">
        <v>7</v>
      </c>
      <c r="C8" s="7" t="n">
        <v>4</v>
      </c>
      <c r="D8" s="8" t="s">
        <v>8</v>
      </c>
    </row>
    <row r="9" customFormat="false" ht="15" hidden="false" customHeight="false" outlineLevel="0" collapsed="false">
      <c r="B9" s="6" t="s">
        <v>9</v>
      </c>
      <c r="C9" s="7" t="n">
        <v>240</v>
      </c>
      <c r="D9" s="8" t="s">
        <v>10</v>
      </c>
    </row>
    <row r="10" customFormat="false" ht="15" hidden="false" customHeight="false" outlineLevel="0" collapsed="false">
      <c r="B10" s="6" t="s">
        <v>11</v>
      </c>
      <c r="C10" s="7" t="n">
        <v>0.5</v>
      </c>
      <c r="D10" s="8" t="s">
        <v>12</v>
      </c>
    </row>
    <row r="11" customFormat="false" ht="15" hidden="false" customHeight="false" outlineLevel="0" collapsed="false">
      <c r="B11" s="6" t="s">
        <v>13</v>
      </c>
      <c r="C11" s="7" t="s">
        <v>14</v>
      </c>
      <c r="D11" s="8" t="s">
        <v>15</v>
      </c>
    </row>
    <row r="12" customFormat="false" ht="15" hidden="false" customHeight="false" outlineLevel="0" collapsed="false">
      <c r="B12" s="6" t="s">
        <v>16</v>
      </c>
      <c r="C12" s="7" t="s">
        <v>17</v>
      </c>
      <c r="D12" s="8" t="s">
        <v>18</v>
      </c>
    </row>
    <row r="14" customFormat="false" ht="15" hidden="false" customHeight="false" outlineLevel="0" collapsed="false">
      <c r="B14" s="3" t="s">
        <v>19</v>
      </c>
    </row>
    <row r="15" customFormat="false" ht="15" hidden="false" customHeight="false" outlineLevel="0" collapsed="false">
      <c r="B15" s="9" t="s">
        <v>20</v>
      </c>
      <c r="C15" s="4" t="s">
        <v>21</v>
      </c>
    </row>
    <row r="16" customFormat="false" ht="15" hidden="false" customHeight="false" outlineLevel="0" collapsed="false">
      <c r="B16" s="9" t="s">
        <v>22</v>
      </c>
      <c r="C16" s="4" t="s">
        <v>23</v>
      </c>
    </row>
    <row r="17" customFormat="false" ht="15" hidden="false" customHeight="false" outlineLevel="0" collapsed="false">
      <c r="B17" s="9" t="s">
        <v>24</v>
      </c>
      <c r="C17" s="4" t="s">
        <v>25</v>
      </c>
    </row>
    <row r="18" customFormat="false" ht="15" hidden="false" customHeight="false" outlineLevel="0" collapsed="false">
      <c r="B18" s="9" t="s">
        <v>26</v>
      </c>
      <c r="C18" s="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4" min="3" style="0" width="20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9" min="9" style="0" width="22"/>
    <col collapsed="false" customWidth="true" hidden="false" outlineLevel="0" max="10" min="10" style="0" width="14"/>
  </cols>
  <sheetData>
    <row r="1" customFormat="false" ht="23.85" hidden="false" customHeight="false" outlineLevel="0" collapsed="false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  <c r="I1" s="5" t="s">
        <v>36</v>
      </c>
      <c r="J1" s="5" t="s">
        <v>37</v>
      </c>
    </row>
    <row r="2" customFormat="false" ht="15" hidden="false" customHeight="false" outlineLevel="0" collapsed="false">
      <c r="A2" s="6" t="n">
        <v>0</v>
      </c>
      <c r="B2" s="6" t="n">
        <v>0</v>
      </c>
      <c r="C2" s="6" t="s">
        <v>38</v>
      </c>
      <c r="D2" s="6" t="s">
        <v>39</v>
      </c>
      <c r="E2" s="6" t="s">
        <v>40</v>
      </c>
      <c r="F2" s="6" t="n">
        <v>1</v>
      </c>
      <c r="G2" s="6" t="n">
        <f aca="false">IF(F2=0,0,1)</f>
        <v>1</v>
      </c>
      <c r="H2" s="6" t="str">
        <f aca="false">IF(E2="RECOVERY","RECOVERY_START",E2)</f>
        <v>BASELINE_COMPATIBLE</v>
      </c>
      <c r="I2" s="6" t="str">
        <f aca="false">H3</f>
        <v>BASELINE_COMPATIBLE</v>
      </c>
      <c r="J2" s="6" t="n">
        <f aca="false">IF(AND(G2=1,G3=1),1,0)</f>
        <v>1</v>
      </c>
    </row>
    <row r="3" customFormat="false" ht="15" hidden="false" customHeight="false" outlineLevel="0" collapsed="false">
      <c r="A3" s="6" t="n">
        <v>0</v>
      </c>
      <c r="B3" s="6" t="n">
        <v>1</v>
      </c>
      <c r="C3" s="6" t="s">
        <v>39</v>
      </c>
      <c r="D3" s="6" t="s">
        <v>41</v>
      </c>
      <c r="E3" s="6" t="s">
        <v>40</v>
      </c>
      <c r="F3" s="6" t="n">
        <v>1</v>
      </c>
      <c r="G3" s="6" t="n">
        <f aca="false">IF(F3=0,0,1)</f>
        <v>1</v>
      </c>
      <c r="H3" s="6" t="str">
        <f aca="false">IF(E3="RECOVERY","RECOVERY_START",E3)</f>
        <v>BASELINE_COMPATIBLE</v>
      </c>
      <c r="I3" s="6" t="str">
        <f aca="false">H4</f>
        <v>BASELINE_COMPATIBLE</v>
      </c>
      <c r="J3" s="6" t="n">
        <f aca="false">IF(AND(G3=1,G4=1),1,0)</f>
        <v>1</v>
      </c>
    </row>
    <row r="4" customFormat="false" ht="15" hidden="false" customHeight="false" outlineLevel="0" collapsed="false">
      <c r="A4" s="6" t="n">
        <v>0</v>
      </c>
      <c r="B4" s="6" t="n">
        <v>2</v>
      </c>
      <c r="C4" s="6" t="s">
        <v>41</v>
      </c>
      <c r="D4" s="6" t="s">
        <v>42</v>
      </c>
      <c r="E4" s="6" t="s">
        <v>40</v>
      </c>
      <c r="F4" s="6" t="n">
        <v>1</v>
      </c>
      <c r="G4" s="6" t="n">
        <f aca="false">IF(F4=0,0,1)</f>
        <v>1</v>
      </c>
      <c r="H4" s="6" t="str">
        <f aca="false">IF(E4="RECOVERY","RECOVERY_START",E4)</f>
        <v>BASELINE_COMPATIBLE</v>
      </c>
      <c r="I4" s="6" t="str">
        <f aca="false">H5</f>
        <v>BASELINE_COMPATIBLE</v>
      </c>
      <c r="J4" s="6" t="n">
        <f aca="false">IF(AND(G4=1,G5=1),1,0)</f>
        <v>1</v>
      </c>
    </row>
    <row r="5" customFormat="false" ht="15" hidden="false" customHeight="false" outlineLevel="0" collapsed="false">
      <c r="A5" s="6" t="n">
        <v>0</v>
      </c>
      <c r="B5" s="6" t="n">
        <v>3</v>
      </c>
      <c r="C5" s="6" t="s">
        <v>42</v>
      </c>
      <c r="D5" s="6" t="s">
        <v>43</v>
      </c>
      <c r="E5" s="6" t="s">
        <v>40</v>
      </c>
      <c r="F5" s="6" t="n">
        <v>1</v>
      </c>
      <c r="G5" s="6" t="n">
        <f aca="false">IF(F5=0,0,1)</f>
        <v>1</v>
      </c>
      <c r="H5" s="6" t="str">
        <f aca="false">IF(E5="RECOVERY","RECOVERY_START",E5)</f>
        <v>BASELINE_COMPATIBLE</v>
      </c>
      <c r="I5" s="6" t="str">
        <f aca="false">H6</f>
        <v>BASELINE_COMPATIBLE</v>
      </c>
      <c r="J5" s="6" t="n">
        <f aca="false">IF(AND(G5=1,G6=1),1,0)</f>
        <v>1</v>
      </c>
    </row>
    <row r="6" customFormat="false" ht="15" hidden="false" customHeight="false" outlineLevel="0" collapsed="false">
      <c r="A6" s="6" t="n">
        <v>0</v>
      </c>
      <c r="B6" s="6" t="n">
        <v>4</v>
      </c>
      <c r="C6" s="6" t="s">
        <v>43</v>
      </c>
      <c r="D6" s="6" t="s">
        <v>44</v>
      </c>
      <c r="E6" s="6" t="s">
        <v>40</v>
      </c>
      <c r="F6" s="6" t="n">
        <v>1</v>
      </c>
      <c r="G6" s="6" t="n">
        <f aca="false">IF(F6=0,0,1)</f>
        <v>1</v>
      </c>
      <c r="H6" s="6" t="str">
        <f aca="false">IF(E6="RECOVERY","RECOVERY_START",E6)</f>
        <v>BASELINE_COMPATIBLE</v>
      </c>
      <c r="I6" s="6" t="str">
        <f aca="false">H7</f>
        <v>BASELINE_COMPATIBLE</v>
      </c>
      <c r="J6" s="6" t="n">
        <f aca="false">IF(AND(G6=1,G7=1),1,0)</f>
        <v>1</v>
      </c>
    </row>
    <row r="7" customFormat="false" ht="15" hidden="false" customHeight="false" outlineLevel="0" collapsed="false">
      <c r="A7" s="6" t="n">
        <v>0</v>
      </c>
      <c r="B7" s="6" t="n">
        <v>5</v>
      </c>
      <c r="C7" s="6" t="s">
        <v>44</v>
      </c>
      <c r="D7" s="6" t="s">
        <v>45</v>
      </c>
      <c r="E7" s="6" t="s">
        <v>40</v>
      </c>
      <c r="F7" s="6" t="n">
        <v>1</v>
      </c>
      <c r="G7" s="6" t="n">
        <f aca="false">IF(F7=0,0,1)</f>
        <v>1</v>
      </c>
      <c r="H7" s="6" t="str">
        <f aca="false">IF(E7="RECOVERY","RECOVERY_START",E7)</f>
        <v>BASELINE_COMPATIBLE</v>
      </c>
      <c r="I7" s="6" t="str">
        <f aca="false">H8</f>
        <v>BASELINE_COMPATIBLE</v>
      </c>
      <c r="J7" s="6" t="n">
        <f aca="false">IF(AND(G7=1,G8=1),1,0)</f>
        <v>1</v>
      </c>
    </row>
    <row r="8" customFormat="false" ht="15" hidden="false" customHeight="false" outlineLevel="0" collapsed="false">
      <c r="A8" s="6" t="n">
        <v>0</v>
      </c>
      <c r="B8" s="6" t="n">
        <v>6</v>
      </c>
      <c r="C8" s="6" t="s">
        <v>45</v>
      </c>
      <c r="D8" s="6" t="s">
        <v>46</v>
      </c>
      <c r="E8" s="6" t="s">
        <v>40</v>
      </c>
      <c r="F8" s="6" t="n">
        <v>1</v>
      </c>
      <c r="G8" s="6" t="n">
        <f aca="false">IF(F8=0,0,1)</f>
        <v>1</v>
      </c>
      <c r="H8" s="6" t="str">
        <f aca="false">IF(E8="RECOVERY","RECOVERY_START",E8)</f>
        <v>BASELINE_COMPATIBLE</v>
      </c>
      <c r="I8" s="6" t="str">
        <f aca="false">H9</f>
        <v>BASELINE_COMPATIBLE</v>
      </c>
      <c r="J8" s="6" t="n">
        <f aca="false">IF(AND(G8=1,G9=1),1,0)</f>
        <v>1</v>
      </c>
    </row>
    <row r="9" customFormat="false" ht="15" hidden="false" customHeight="false" outlineLevel="0" collapsed="false">
      <c r="A9" s="6" t="n">
        <v>0</v>
      </c>
      <c r="B9" s="6" t="n">
        <v>7</v>
      </c>
      <c r="C9" s="6" t="s">
        <v>46</v>
      </c>
      <c r="D9" s="6" t="s">
        <v>47</v>
      </c>
      <c r="E9" s="6" t="s">
        <v>40</v>
      </c>
      <c r="F9" s="6" t="n">
        <v>1</v>
      </c>
      <c r="G9" s="6" t="n">
        <f aca="false">IF(F9=0,0,1)</f>
        <v>1</v>
      </c>
      <c r="H9" s="6" t="str">
        <f aca="false">IF(E9="RECOVERY","RECOVERY_START",E9)</f>
        <v>BASELINE_COMPATIBLE</v>
      </c>
      <c r="I9" s="6" t="str">
        <f aca="false">H10</f>
        <v>BASELINE_COMPATIBLE</v>
      </c>
      <c r="J9" s="6" t="n">
        <f aca="false">IF(AND(G9=1,G10=1),1,0)</f>
        <v>1</v>
      </c>
    </row>
    <row r="10" customFormat="false" ht="15" hidden="false" customHeight="false" outlineLevel="0" collapsed="false">
      <c r="A10" s="6" t="n">
        <v>0</v>
      </c>
      <c r="B10" s="6" t="n">
        <v>8</v>
      </c>
      <c r="C10" s="6" t="s">
        <v>47</v>
      </c>
      <c r="D10" s="6" t="s">
        <v>48</v>
      </c>
      <c r="E10" s="6" t="s">
        <v>40</v>
      </c>
      <c r="F10" s="6" t="n">
        <v>1</v>
      </c>
      <c r="G10" s="6" t="n">
        <f aca="false">IF(F10=0,0,1)</f>
        <v>1</v>
      </c>
      <c r="H10" s="6" t="str">
        <f aca="false">IF(E10="RECOVERY","RECOVERY_START",E10)</f>
        <v>BASELINE_COMPATIBLE</v>
      </c>
      <c r="I10" s="6" t="str">
        <f aca="false">H11</f>
        <v>BASELINE_COMPATIBLE</v>
      </c>
      <c r="J10" s="6" t="n">
        <f aca="false">IF(AND(G10=1,G11=1),1,0)</f>
        <v>1</v>
      </c>
    </row>
    <row r="11" customFormat="false" ht="15" hidden="false" customHeight="false" outlineLevel="0" collapsed="false">
      <c r="A11" s="6" t="n">
        <v>0</v>
      </c>
      <c r="B11" s="6" t="n">
        <v>9</v>
      </c>
      <c r="C11" s="6" t="s">
        <v>48</v>
      </c>
      <c r="D11" s="6" t="s">
        <v>49</v>
      </c>
      <c r="E11" s="6" t="s">
        <v>40</v>
      </c>
      <c r="F11" s="6" t="n">
        <v>1</v>
      </c>
      <c r="G11" s="6" t="n">
        <f aca="false">IF(F11=0,0,1)</f>
        <v>1</v>
      </c>
      <c r="H11" s="6" t="str">
        <f aca="false">IF(E11="RECOVERY","RECOVERY_START",E11)</f>
        <v>BASELINE_COMPATIBLE</v>
      </c>
      <c r="I11" s="6" t="str">
        <f aca="false">H12</f>
        <v>BASELINE_COMPATIBLE</v>
      </c>
      <c r="J11" s="6" t="n">
        <f aca="false">IF(AND(G11=1,G12=1),1,0)</f>
        <v>1</v>
      </c>
    </row>
    <row r="12" customFormat="false" ht="15" hidden="false" customHeight="false" outlineLevel="0" collapsed="false">
      <c r="A12" s="6" t="n">
        <v>0</v>
      </c>
      <c r="B12" s="6" t="n">
        <v>10</v>
      </c>
      <c r="C12" s="6" t="s">
        <v>49</v>
      </c>
      <c r="D12" s="6" t="s">
        <v>50</v>
      </c>
      <c r="E12" s="6" t="s">
        <v>40</v>
      </c>
      <c r="F12" s="6" t="n">
        <v>1</v>
      </c>
      <c r="G12" s="6" t="n">
        <f aca="false">IF(F12=0,0,1)</f>
        <v>1</v>
      </c>
      <c r="H12" s="6" t="str">
        <f aca="false">IF(E12="RECOVERY","RECOVERY_START",E12)</f>
        <v>BASELINE_COMPATIBLE</v>
      </c>
      <c r="I12" s="6" t="str">
        <f aca="false">H13</f>
        <v>BASELINE_COMPATIBLE</v>
      </c>
      <c r="J12" s="6" t="n">
        <f aca="false">IF(AND(G12=1,G13=1),1,0)</f>
        <v>1</v>
      </c>
    </row>
    <row r="13" customFormat="false" ht="15" hidden="false" customHeight="false" outlineLevel="0" collapsed="false">
      <c r="A13" s="6" t="n">
        <v>0</v>
      </c>
      <c r="B13" s="6" t="n">
        <v>11</v>
      </c>
      <c r="C13" s="6" t="s">
        <v>50</v>
      </c>
      <c r="D13" s="6" t="s">
        <v>51</v>
      </c>
      <c r="E13" s="6" t="s">
        <v>40</v>
      </c>
      <c r="F13" s="6" t="n">
        <v>1</v>
      </c>
      <c r="G13" s="6" t="n">
        <f aca="false">IF(F13=0,0,1)</f>
        <v>1</v>
      </c>
      <c r="H13" s="6" t="str">
        <f aca="false">IF(E13="RECOVERY","RECOVERY_START",E13)</f>
        <v>BASELINE_COMPATIBLE</v>
      </c>
      <c r="I13" s="6" t="str">
        <f aca="false">H14</f>
        <v>BASELINE_COMPATIBLE</v>
      </c>
      <c r="J13" s="6" t="n">
        <f aca="false">IF(AND(G13=1,G14=1),1,0)</f>
        <v>1</v>
      </c>
    </row>
    <row r="14" customFormat="false" ht="15" hidden="false" customHeight="false" outlineLevel="0" collapsed="false">
      <c r="A14" s="6" t="n">
        <v>0</v>
      </c>
      <c r="B14" s="6" t="n">
        <v>12</v>
      </c>
      <c r="C14" s="6" t="s">
        <v>51</v>
      </c>
      <c r="D14" s="6" t="s">
        <v>52</v>
      </c>
      <c r="E14" s="6" t="s">
        <v>40</v>
      </c>
      <c r="F14" s="6" t="n">
        <v>1</v>
      </c>
      <c r="G14" s="6" t="n">
        <f aca="false">IF(F14=0,0,1)</f>
        <v>1</v>
      </c>
      <c r="H14" s="6" t="str">
        <f aca="false">IF(E14="RECOVERY","RECOVERY_START",E14)</f>
        <v>BASELINE_COMPATIBLE</v>
      </c>
      <c r="I14" s="6" t="str">
        <f aca="false">H15</f>
        <v>BASELINE_COMPATIBLE</v>
      </c>
      <c r="J14" s="6" t="n">
        <f aca="false">IF(AND(G14=1,G15=1),1,0)</f>
        <v>1</v>
      </c>
    </row>
    <row r="15" customFormat="false" ht="15" hidden="false" customHeight="false" outlineLevel="0" collapsed="false">
      <c r="A15" s="6" t="n">
        <v>0</v>
      </c>
      <c r="B15" s="6" t="n">
        <v>13</v>
      </c>
      <c r="C15" s="6" t="s">
        <v>52</v>
      </c>
      <c r="D15" s="6" t="s">
        <v>53</v>
      </c>
      <c r="E15" s="6" t="s">
        <v>40</v>
      </c>
      <c r="F15" s="6" t="n">
        <v>1</v>
      </c>
      <c r="G15" s="6" t="n">
        <f aca="false">IF(F15=0,0,1)</f>
        <v>1</v>
      </c>
      <c r="H15" s="6" t="str">
        <f aca="false">IF(E15="RECOVERY","RECOVERY_START",E15)</f>
        <v>BASELINE_COMPATIBLE</v>
      </c>
      <c r="I15" s="6" t="str">
        <f aca="false">H16</f>
        <v>BASELINE_COMPATIBLE</v>
      </c>
      <c r="J15" s="6" t="n">
        <f aca="false">IF(AND(G15=1,G16=1),1,0)</f>
        <v>0</v>
      </c>
    </row>
    <row r="16" customFormat="false" ht="15" hidden="false" customHeight="false" outlineLevel="0" collapsed="false">
      <c r="A16" s="6" t="n">
        <v>0</v>
      </c>
      <c r="B16" s="6" t="n">
        <v>14</v>
      </c>
      <c r="C16" s="6" t="s">
        <v>53</v>
      </c>
      <c r="D16" s="6" t="s">
        <v>54</v>
      </c>
      <c r="E16" s="6" t="s">
        <v>40</v>
      </c>
      <c r="F16" s="6" t="n">
        <v>0</v>
      </c>
      <c r="G16" s="6" t="n">
        <f aca="false">IF(F16=0,0,1)</f>
        <v>0</v>
      </c>
      <c r="H16" s="6" t="str">
        <f aca="false">IF(E16="RECOVERY","RECOVERY_START",E16)</f>
        <v>BASELINE_COMPATIBLE</v>
      </c>
      <c r="I16" s="6" t="str">
        <f aca="false">H17</f>
        <v>BASELINE_COMPATIBLE</v>
      </c>
      <c r="J16" s="6" t="n">
        <f aca="false">IF(AND(G16=1,G17=1),1,0)</f>
        <v>0</v>
      </c>
    </row>
    <row r="17" customFormat="false" ht="15" hidden="false" customHeight="false" outlineLevel="0" collapsed="false">
      <c r="A17" s="6" t="n">
        <v>0</v>
      </c>
      <c r="B17" s="6" t="n">
        <v>15</v>
      </c>
      <c r="C17" s="6" t="s">
        <v>54</v>
      </c>
      <c r="D17" s="6" t="s">
        <v>55</v>
      </c>
      <c r="E17" s="6" t="s">
        <v>40</v>
      </c>
      <c r="F17" s="6" t="n">
        <v>1</v>
      </c>
      <c r="G17" s="6" t="n">
        <f aca="false">IF(F17=0,0,1)</f>
        <v>1</v>
      </c>
      <c r="H17" s="6" t="str">
        <f aca="false">IF(E17="RECOVERY","RECOVERY_START",E17)</f>
        <v>BASELINE_COMPATIBLE</v>
      </c>
      <c r="I17" s="6" t="str">
        <f aca="false">H18</f>
        <v>BASELINE_COMPATIBLE</v>
      </c>
      <c r="J17" s="6" t="n">
        <f aca="false">IF(AND(G17=1,G18=1),1,0)</f>
        <v>1</v>
      </c>
    </row>
    <row r="18" customFormat="false" ht="15" hidden="false" customHeight="false" outlineLevel="0" collapsed="false">
      <c r="A18" s="6" t="n">
        <v>0</v>
      </c>
      <c r="B18" s="6" t="n">
        <v>16</v>
      </c>
      <c r="C18" s="6" t="s">
        <v>55</v>
      </c>
      <c r="D18" s="6" t="s">
        <v>56</v>
      </c>
      <c r="E18" s="6" t="s">
        <v>40</v>
      </c>
      <c r="F18" s="6" t="n">
        <v>1</v>
      </c>
      <c r="G18" s="6" t="n">
        <f aca="false">IF(F18=0,0,1)</f>
        <v>1</v>
      </c>
      <c r="H18" s="6" t="str">
        <f aca="false">IF(E18="RECOVERY","RECOVERY_START",E18)</f>
        <v>BASELINE_COMPATIBLE</v>
      </c>
      <c r="I18" s="6" t="str">
        <f aca="false">H19</f>
        <v>BASELINE_COMPATIBLE</v>
      </c>
      <c r="J18" s="6" t="n">
        <f aca="false">IF(AND(G18=1,G19=1),1,0)</f>
        <v>1</v>
      </c>
    </row>
    <row r="19" customFormat="false" ht="15" hidden="false" customHeight="false" outlineLevel="0" collapsed="false">
      <c r="A19" s="6" t="n">
        <v>0</v>
      </c>
      <c r="B19" s="6" t="n">
        <v>17</v>
      </c>
      <c r="C19" s="6" t="s">
        <v>56</v>
      </c>
      <c r="D19" s="6" t="s">
        <v>57</v>
      </c>
      <c r="E19" s="6" t="s">
        <v>40</v>
      </c>
      <c r="F19" s="6" t="n">
        <v>1</v>
      </c>
      <c r="G19" s="6" t="n">
        <f aca="false">IF(F19=0,0,1)</f>
        <v>1</v>
      </c>
      <c r="H19" s="6" t="str">
        <f aca="false">IF(E19="RECOVERY","RECOVERY_START",E19)</f>
        <v>BASELINE_COMPATIBLE</v>
      </c>
      <c r="I19" s="6" t="str">
        <f aca="false">H20</f>
        <v>BASELINE_COMPATIBLE</v>
      </c>
      <c r="J19" s="6" t="n">
        <f aca="false">IF(AND(G19=1,G20=1),1,0)</f>
        <v>1</v>
      </c>
    </row>
    <row r="20" customFormat="false" ht="15" hidden="false" customHeight="false" outlineLevel="0" collapsed="false">
      <c r="A20" s="6" t="n">
        <v>0</v>
      </c>
      <c r="B20" s="6" t="n">
        <v>18</v>
      </c>
      <c r="C20" s="6" t="s">
        <v>57</v>
      </c>
      <c r="D20" s="6" t="s">
        <v>58</v>
      </c>
      <c r="E20" s="6" t="s">
        <v>40</v>
      </c>
      <c r="F20" s="6" t="n">
        <v>1</v>
      </c>
      <c r="G20" s="6" t="n">
        <f aca="false">IF(F20=0,0,1)</f>
        <v>1</v>
      </c>
      <c r="H20" s="6" t="str">
        <f aca="false">IF(E20="RECOVERY","RECOVERY_START",E20)</f>
        <v>BASELINE_COMPATIBLE</v>
      </c>
      <c r="I20" s="6" t="str">
        <f aca="false">H21</f>
        <v>BASELINE_COMPATIBLE</v>
      </c>
      <c r="J20" s="6" t="n">
        <f aca="false">IF(AND(G20=1,G21=1),1,0)</f>
        <v>1</v>
      </c>
    </row>
    <row r="21" customFormat="false" ht="15" hidden="false" customHeight="false" outlineLevel="0" collapsed="false">
      <c r="A21" s="6" t="n">
        <v>0</v>
      </c>
      <c r="B21" s="6" t="n">
        <v>19</v>
      </c>
      <c r="C21" s="6" t="s">
        <v>58</v>
      </c>
      <c r="D21" s="6" t="s">
        <v>59</v>
      </c>
      <c r="E21" s="6" t="s">
        <v>40</v>
      </c>
      <c r="F21" s="6" t="n">
        <v>1</v>
      </c>
      <c r="G21" s="6" t="n">
        <f aca="false">IF(F21=0,0,1)</f>
        <v>1</v>
      </c>
      <c r="H21" s="6" t="str">
        <f aca="false">IF(E21="RECOVERY","RECOVERY_START",E21)</f>
        <v>BASELINE_COMPATIBLE</v>
      </c>
      <c r="I21" s="6" t="str">
        <f aca="false">H22</f>
        <v>BASELINE_COMPATIBLE</v>
      </c>
      <c r="J21" s="6" t="n">
        <f aca="false">IF(AND(G21=1,G22=1),1,0)</f>
        <v>1</v>
      </c>
    </row>
    <row r="22" customFormat="false" ht="15" hidden="false" customHeight="false" outlineLevel="0" collapsed="false">
      <c r="A22" s="6" t="n">
        <v>0</v>
      </c>
      <c r="B22" s="6" t="n">
        <v>20</v>
      </c>
      <c r="C22" s="6" t="s">
        <v>59</v>
      </c>
      <c r="D22" s="6" t="s">
        <v>60</v>
      </c>
      <c r="E22" s="6" t="s">
        <v>40</v>
      </c>
      <c r="F22" s="6" t="n">
        <v>1</v>
      </c>
      <c r="G22" s="6" t="n">
        <f aca="false">IF(F22=0,0,1)</f>
        <v>1</v>
      </c>
      <c r="H22" s="6" t="str">
        <f aca="false">IF(E22="RECOVERY","RECOVERY_START",E22)</f>
        <v>BASELINE_COMPATIBLE</v>
      </c>
      <c r="I22" s="6" t="str">
        <f aca="false">H23</f>
        <v>BASELINE_COMPATIBLE</v>
      </c>
      <c r="J22" s="6" t="n">
        <f aca="false">IF(AND(G22=1,G23=1),1,0)</f>
        <v>1</v>
      </c>
    </row>
    <row r="23" customFormat="false" ht="15" hidden="false" customHeight="false" outlineLevel="0" collapsed="false">
      <c r="A23" s="6" t="n">
        <v>0</v>
      </c>
      <c r="B23" s="6" t="n">
        <v>21</v>
      </c>
      <c r="C23" s="6" t="s">
        <v>60</v>
      </c>
      <c r="D23" s="6" t="s">
        <v>61</v>
      </c>
      <c r="E23" s="6" t="s">
        <v>40</v>
      </c>
      <c r="F23" s="6" t="n">
        <v>1</v>
      </c>
      <c r="G23" s="6" t="n">
        <f aca="false">IF(F23=0,0,1)</f>
        <v>1</v>
      </c>
      <c r="H23" s="6" t="str">
        <f aca="false">IF(E23="RECOVERY","RECOVERY_START",E23)</f>
        <v>BASELINE_COMPATIBLE</v>
      </c>
      <c r="I23" s="6" t="str">
        <f aca="false">H24</f>
        <v>BASELINE_COMPATIBLE</v>
      </c>
      <c r="J23" s="6" t="n">
        <f aca="false">IF(AND(G23=1,G24=1),1,0)</f>
        <v>1</v>
      </c>
    </row>
    <row r="24" customFormat="false" ht="15" hidden="false" customHeight="false" outlineLevel="0" collapsed="false">
      <c r="A24" s="6" t="n">
        <v>0</v>
      </c>
      <c r="B24" s="6" t="n">
        <v>22</v>
      </c>
      <c r="C24" s="6" t="s">
        <v>61</v>
      </c>
      <c r="D24" s="6" t="s">
        <v>62</v>
      </c>
      <c r="E24" s="6" t="s">
        <v>40</v>
      </c>
      <c r="F24" s="6" t="n">
        <v>1</v>
      </c>
      <c r="G24" s="6" t="n">
        <f aca="false">IF(F24=0,0,1)</f>
        <v>1</v>
      </c>
      <c r="H24" s="6" t="str">
        <f aca="false">IF(E24="RECOVERY","RECOVERY_START",E24)</f>
        <v>BASELINE_COMPATIBLE</v>
      </c>
      <c r="I24" s="6" t="str">
        <f aca="false">H25</f>
        <v>BASELINE_COMPATIBLE</v>
      </c>
      <c r="J24" s="6" t="n">
        <f aca="false">IF(AND(G24=1,G25=1),1,0)</f>
        <v>1</v>
      </c>
    </row>
    <row r="25" customFormat="false" ht="15" hidden="false" customHeight="false" outlineLevel="0" collapsed="false">
      <c r="A25" s="6" t="n">
        <v>0</v>
      </c>
      <c r="B25" s="6" t="n">
        <v>23</v>
      </c>
      <c r="C25" s="6" t="s">
        <v>62</v>
      </c>
      <c r="D25" s="6" t="s">
        <v>63</v>
      </c>
      <c r="E25" s="6" t="s">
        <v>40</v>
      </c>
      <c r="F25" s="6" t="n">
        <v>1</v>
      </c>
      <c r="G25" s="6" t="n">
        <f aca="false">IF(F25=0,0,1)</f>
        <v>1</v>
      </c>
      <c r="H25" s="6" t="str">
        <f aca="false">IF(E25="RECOVERY","RECOVERY_START",E25)</f>
        <v>BASELINE_COMPATIBLE</v>
      </c>
      <c r="I25" s="6" t="str">
        <f aca="false">H26</f>
        <v>BASELINE_COMPATIBLE</v>
      </c>
      <c r="J25" s="6" t="n">
        <f aca="false">IF(AND(G25=1,G26=1),1,0)</f>
        <v>1</v>
      </c>
    </row>
    <row r="26" customFormat="false" ht="15" hidden="false" customHeight="false" outlineLevel="0" collapsed="false">
      <c r="A26" s="6" t="n">
        <v>0</v>
      </c>
      <c r="B26" s="6" t="n">
        <v>24</v>
      </c>
      <c r="C26" s="6" t="s">
        <v>63</v>
      </c>
      <c r="D26" s="6" t="s">
        <v>64</v>
      </c>
      <c r="E26" s="6" t="s">
        <v>40</v>
      </c>
      <c r="F26" s="6" t="n">
        <v>1</v>
      </c>
      <c r="G26" s="6" t="n">
        <f aca="false">IF(F26=0,0,1)</f>
        <v>1</v>
      </c>
      <c r="H26" s="6" t="str">
        <f aca="false">IF(E26="RECOVERY","RECOVERY_START",E26)</f>
        <v>BASELINE_COMPATIBLE</v>
      </c>
      <c r="I26" s="6" t="str">
        <f aca="false">H27</f>
        <v>BASELINE_COMPATIBLE</v>
      </c>
      <c r="J26" s="6" t="n">
        <f aca="false">IF(AND(G26=1,G27=1),1,0)</f>
        <v>1</v>
      </c>
    </row>
    <row r="27" customFormat="false" ht="15" hidden="false" customHeight="false" outlineLevel="0" collapsed="false">
      <c r="A27" s="6" t="n">
        <v>0</v>
      </c>
      <c r="B27" s="6" t="n">
        <v>25</v>
      </c>
      <c r="C27" s="6" t="s">
        <v>64</v>
      </c>
      <c r="D27" s="6" t="s">
        <v>65</v>
      </c>
      <c r="E27" s="6" t="s">
        <v>40</v>
      </c>
      <c r="F27" s="6" t="n">
        <v>1</v>
      </c>
      <c r="G27" s="6" t="n">
        <f aca="false">IF(F27=0,0,1)</f>
        <v>1</v>
      </c>
      <c r="H27" s="6" t="str">
        <f aca="false">IF(E27="RECOVERY","RECOVERY_START",E27)</f>
        <v>BASELINE_COMPATIBLE</v>
      </c>
      <c r="I27" s="6" t="str">
        <f aca="false">H28</f>
        <v>BASELINE_COMPATIBLE</v>
      </c>
      <c r="J27" s="6" t="n">
        <f aca="false">IF(AND(G27=1,G28=1),1,0)</f>
        <v>1</v>
      </c>
    </row>
    <row r="28" customFormat="false" ht="15" hidden="false" customHeight="false" outlineLevel="0" collapsed="false">
      <c r="A28" s="6" t="n">
        <v>0</v>
      </c>
      <c r="B28" s="6" t="n">
        <v>26</v>
      </c>
      <c r="C28" s="6" t="s">
        <v>65</v>
      </c>
      <c r="D28" s="6" t="s">
        <v>66</v>
      </c>
      <c r="E28" s="6" t="s">
        <v>40</v>
      </c>
      <c r="F28" s="6" t="n">
        <v>1</v>
      </c>
      <c r="G28" s="6" t="n">
        <f aca="false">IF(F28=0,0,1)</f>
        <v>1</v>
      </c>
      <c r="H28" s="6" t="str">
        <f aca="false">IF(E28="RECOVERY","RECOVERY_START",E28)</f>
        <v>BASELINE_COMPATIBLE</v>
      </c>
      <c r="I28" s="6" t="str">
        <f aca="false">H29</f>
        <v>BASELINE_COMPATIBLE</v>
      </c>
      <c r="J28" s="6" t="n">
        <f aca="false">IF(AND(G28=1,G29=1),1,0)</f>
        <v>1</v>
      </c>
    </row>
    <row r="29" customFormat="false" ht="15" hidden="false" customHeight="false" outlineLevel="0" collapsed="false">
      <c r="A29" s="6" t="n">
        <v>0</v>
      </c>
      <c r="B29" s="6" t="n">
        <v>27</v>
      </c>
      <c r="C29" s="6" t="s">
        <v>66</v>
      </c>
      <c r="D29" s="6" t="s">
        <v>67</v>
      </c>
      <c r="E29" s="6" t="s">
        <v>40</v>
      </c>
      <c r="F29" s="6" t="n">
        <v>1</v>
      </c>
      <c r="G29" s="6" t="n">
        <f aca="false">IF(F29=0,0,1)</f>
        <v>1</v>
      </c>
      <c r="H29" s="6" t="str">
        <f aca="false">IF(E29="RECOVERY","RECOVERY_START",E29)</f>
        <v>BASELINE_COMPATIBLE</v>
      </c>
      <c r="I29" s="6" t="str">
        <f aca="false">H30</f>
        <v>BASELINE_COMPATIBLE</v>
      </c>
      <c r="J29" s="6" t="n">
        <f aca="false">IF(AND(G29=1,G30=1),1,0)</f>
        <v>1</v>
      </c>
    </row>
    <row r="30" customFormat="false" ht="15" hidden="false" customHeight="false" outlineLevel="0" collapsed="false">
      <c r="A30" s="6" t="n">
        <v>0</v>
      </c>
      <c r="B30" s="6" t="n">
        <v>28</v>
      </c>
      <c r="C30" s="6" t="s">
        <v>67</v>
      </c>
      <c r="D30" s="6" t="s">
        <v>68</v>
      </c>
      <c r="E30" s="6" t="s">
        <v>40</v>
      </c>
      <c r="F30" s="6" t="n">
        <v>1</v>
      </c>
      <c r="G30" s="6" t="n">
        <f aca="false">IF(F30=0,0,1)</f>
        <v>1</v>
      </c>
      <c r="H30" s="6" t="str">
        <f aca="false">IF(E30="RECOVERY","RECOVERY_START",E30)</f>
        <v>BASELINE_COMPATIBLE</v>
      </c>
      <c r="I30" s="6" t="str">
        <f aca="false">H31</f>
        <v>BASELINE_COMPATIBLE</v>
      </c>
      <c r="J30" s="6" t="n">
        <f aca="false">IF(AND(G30=1,G31=1),1,0)</f>
        <v>1</v>
      </c>
    </row>
    <row r="31" customFormat="false" ht="15" hidden="false" customHeight="false" outlineLevel="0" collapsed="false">
      <c r="A31" s="6" t="n">
        <v>0</v>
      </c>
      <c r="B31" s="6" t="n">
        <v>29</v>
      </c>
      <c r="C31" s="6" t="s">
        <v>68</v>
      </c>
      <c r="D31" s="6" t="s">
        <v>69</v>
      </c>
      <c r="E31" s="6" t="s">
        <v>40</v>
      </c>
      <c r="F31" s="6" t="n">
        <v>1</v>
      </c>
      <c r="G31" s="6" t="n">
        <f aca="false">IF(F31=0,0,1)</f>
        <v>1</v>
      </c>
      <c r="H31" s="6" t="str">
        <f aca="false">IF(E31="RECOVERY","RECOVERY_START",E31)</f>
        <v>BASELINE_COMPATIBLE</v>
      </c>
      <c r="I31" s="6" t="str">
        <f aca="false">H32</f>
        <v>BASELINE_COMPATIBLE</v>
      </c>
      <c r="J31" s="6" t="n">
        <f aca="false">IF(AND(G31=1,G32=1),1,0)</f>
        <v>1</v>
      </c>
    </row>
    <row r="32" customFormat="false" ht="15" hidden="false" customHeight="false" outlineLevel="0" collapsed="false">
      <c r="A32" s="6" t="n">
        <v>0</v>
      </c>
      <c r="B32" s="6" t="n">
        <v>30</v>
      </c>
      <c r="C32" s="6" t="s">
        <v>70</v>
      </c>
      <c r="D32" s="6" t="s">
        <v>71</v>
      </c>
      <c r="E32" s="6" t="s">
        <v>40</v>
      </c>
      <c r="F32" s="6" t="n">
        <v>1</v>
      </c>
      <c r="G32" s="6" t="n">
        <f aca="false">IF(F32=0,0,1)</f>
        <v>1</v>
      </c>
      <c r="H32" s="6" t="str">
        <f aca="false">IF(E32="RECOVERY","RECOVERY_START",E32)</f>
        <v>BASELINE_COMPATIBLE</v>
      </c>
      <c r="I32" s="6" t="str">
        <f aca="false">H33</f>
        <v>BASELINE_COMPATIBLE</v>
      </c>
      <c r="J32" s="6" t="n">
        <f aca="false">IF(AND(G32=1,G33=1),1,0)</f>
        <v>1</v>
      </c>
    </row>
    <row r="33" customFormat="false" ht="15" hidden="false" customHeight="false" outlineLevel="0" collapsed="false">
      <c r="A33" s="6" t="n">
        <v>0</v>
      </c>
      <c r="B33" s="6" t="n">
        <v>31</v>
      </c>
      <c r="C33" s="6" t="s">
        <v>71</v>
      </c>
      <c r="D33" s="6" t="s">
        <v>72</v>
      </c>
      <c r="E33" s="6" t="s">
        <v>40</v>
      </c>
      <c r="F33" s="6" t="n">
        <v>1</v>
      </c>
      <c r="G33" s="6" t="n">
        <f aca="false">IF(F33=0,0,1)</f>
        <v>1</v>
      </c>
      <c r="H33" s="6" t="str">
        <f aca="false">IF(E33="RECOVERY","RECOVERY_START",E33)</f>
        <v>BASELINE_COMPATIBLE</v>
      </c>
      <c r="I33" s="6" t="str">
        <f aca="false">H34</f>
        <v>BASELINE_COMPATIBLE</v>
      </c>
      <c r="J33" s="6" t="n">
        <f aca="false">IF(AND(G33=1,G34=1),1,0)</f>
        <v>1</v>
      </c>
    </row>
    <row r="34" customFormat="false" ht="15" hidden="false" customHeight="false" outlineLevel="0" collapsed="false">
      <c r="A34" s="6" t="n">
        <v>0</v>
      </c>
      <c r="B34" s="6" t="n">
        <v>32</v>
      </c>
      <c r="C34" s="6" t="s">
        <v>72</v>
      </c>
      <c r="D34" s="6" t="s">
        <v>73</v>
      </c>
      <c r="E34" s="6" t="s">
        <v>40</v>
      </c>
      <c r="F34" s="6" t="n">
        <v>1</v>
      </c>
      <c r="G34" s="6" t="n">
        <f aca="false">IF(F34=0,0,1)</f>
        <v>1</v>
      </c>
      <c r="H34" s="6" t="str">
        <f aca="false">IF(E34="RECOVERY","RECOVERY_START",E34)</f>
        <v>BASELINE_COMPATIBLE</v>
      </c>
      <c r="I34" s="6" t="str">
        <f aca="false">H35</f>
        <v>BASELINE_COMPATIBLE</v>
      </c>
      <c r="J34" s="6" t="n">
        <f aca="false">IF(AND(G34=1,G35=1),1,0)</f>
        <v>0</v>
      </c>
    </row>
    <row r="35" customFormat="false" ht="15" hidden="false" customHeight="false" outlineLevel="0" collapsed="false">
      <c r="A35" s="6" t="n">
        <v>0</v>
      </c>
      <c r="B35" s="6" t="n">
        <v>33</v>
      </c>
      <c r="C35" s="6" t="s">
        <v>73</v>
      </c>
      <c r="D35" s="6" t="s">
        <v>74</v>
      </c>
      <c r="E35" s="6" t="s">
        <v>40</v>
      </c>
      <c r="F35" s="6" t="n">
        <v>0</v>
      </c>
      <c r="G35" s="6" t="n">
        <f aca="false">IF(F35=0,0,1)</f>
        <v>0</v>
      </c>
      <c r="H35" s="6" t="str">
        <f aca="false">IF(E35="RECOVERY","RECOVERY_START",E35)</f>
        <v>BASELINE_COMPATIBLE</v>
      </c>
      <c r="I35" s="6" t="str">
        <f aca="false">H36</f>
        <v>BASELINE_COMPATIBLE</v>
      </c>
      <c r="J35" s="6" t="n">
        <f aca="false">IF(AND(G35=1,G36=1),1,0)</f>
        <v>0</v>
      </c>
    </row>
    <row r="36" customFormat="false" ht="15" hidden="false" customHeight="false" outlineLevel="0" collapsed="false">
      <c r="A36" s="6" t="n">
        <v>0</v>
      </c>
      <c r="B36" s="6" t="n">
        <v>34</v>
      </c>
      <c r="C36" s="6" t="s">
        <v>74</v>
      </c>
      <c r="D36" s="6" t="s">
        <v>75</v>
      </c>
      <c r="E36" s="6" t="s">
        <v>40</v>
      </c>
      <c r="F36" s="6" t="n">
        <v>1</v>
      </c>
      <c r="G36" s="6" t="n">
        <f aca="false">IF(F36=0,0,1)</f>
        <v>1</v>
      </c>
      <c r="H36" s="6" t="str">
        <f aca="false">IF(E36="RECOVERY","RECOVERY_START",E36)</f>
        <v>BASELINE_COMPATIBLE</v>
      </c>
      <c r="I36" s="6" t="str">
        <f aca="false">H37</f>
        <v>BASELINE_COMPATIBLE</v>
      </c>
      <c r="J36" s="6" t="n">
        <f aca="false">IF(AND(G36=1,G37=1),1,0)</f>
        <v>1</v>
      </c>
    </row>
    <row r="37" customFormat="false" ht="15" hidden="false" customHeight="false" outlineLevel="0" collapsed="false">
      <c r="A37" s="6" t="n">
        <v>0</v>
      </c>
      <c r="B37" s="6" t="n">
        <v>35</v>
      </c>
      <c r="C37" s="6" t="s">
        <v>75</v>
      </c>
      <c r="D37" s="6" t="s">
        <v>76</v>
      </c>
      <c r="E37" s="6" t="s">
        <v>40</v>
      </c>
      <c r="F37" s="6" t="n">
        <v>1</v>
      </c>
      <c r="G37" s="6" t="n">
        <f aca="false">IF(F37=0,0,1)</f>
        <v>1</v>
      </c>
      <c r="H37" s="6" t="str">
        <f aca="false">IF(E37="RECOVERY","RECOVERY_START",E37)</f>
        <v>BASELINE_COMPATIBLE</v>
      </c>
      <c r="I37" s="6" t="str">
        <f aca="false">H38</f>
        <v>BASELINE_COMPATIBLE</v>
      </c>
      <c r="J37" s="6" t="n">
        <f aca="false">IF(AND(G37=1,G38=1),1,0)</f>
        <v>1</v>
      </c>
    </row>
    <row r="38" customFormat="false" ht="15" hidden="false" customHeight="false" outlineLevel="0" collapsed="false">
      <c r="A38" s="6" t="n">
        <v>0</v>
      </c>
      <c r="B38" s="6" t="n">
        <v>36</v>
      </c>
      <c r="C38" s="6" t="s">
        <v>76</v>
      </c>
      <c r="D38" s="6" t="s">
        <v>77</v>
      </c>
      <c r="E38" s="6" t="s">
        <v>40</v>
      </c>
      <c r="F38" s="6" t="n">
        <v>1</v>
      </c>
      <c r="G38" s="6" t="n">
        <f aca="false">IF(F38=0,0,1)</f>
        <v>1</v>
      </c>
      <c r="H38" s="6" t="str">
        <f aca="false">IF(E38="RECOVERY","RECOVERY_START",E38)</f>
        <v>BASELINE_COMPATIBLE</v>
      </c>
      <c r="I38" s="6" t="str">
        <f aca="false">H39</f>
        <v>BASELINE_COMPATIBLE</v>
      </c>
      <c r="J38" s="6" t="n">
        <f aca="false">IF(AND(G38=1,G39=1),1,0)</f>
        <v>1</v>
      </c>
    </row>
    <row r="39" customFormat="false" ht="15" hidden="false" customHeight="false" outlineLevel="0" collapsed="false">
      <c r="A39" s="6" t="n">
        <v>0</v>
      </c>
      <c r="B39" s="6" t="n">
        <v>37</v>
      </c>
      <c r="C39" s="6" t="s">
        <v>77</v>
      </c>
      <c r="D39" s="6" t="s">
        <v>78</v>
      </c>
      <c r="E39" s="6" t="s">
        <v>40</v>
      </c>
      <c r="F39" s="6" t="n">
        <v>1</v>
      </c>
      <c r="G39" s="6" t="n">
        <f aca="false">IF(F39=0,0,1)</f>
        <v>1</v>
      </c>
      <c r="H39" s="6" t="str">
        <f aca="false">IF(E39="RECOVERY","RECOVERY_START",E39)</f>
        <v>BASELINE_COMPATIBLE</v>
      </c>
      <c r="I39" s="6" t="str">
        <f aca="false">H40</f>
        <v>BASELINE_COMPATIBLE</v>
      </c>
      <c r="J39" s="6" t="n">
        <f aca="false">IF(AND(G39=1,G40=1),1,0)</f>
        <v>1</v>
      </c>
    </row>
    <row r="40" customFormat="false" ht="15" hidden="false" customHeight="false" outlineLevel="0" collapsed="false">
      <c r="A40" s="6" t="n">
        <v>0</v>
      </c>
      <c r="B40" s="6" t="n">
        <v>38</v>
      </c>
      <c r="C40" s="6" t="s">
        <v>78</v>
      </c>
      <c r="D40" s="6" t="s">
        <v>79</v>
      </c>
      <c r="E40" s="6" t="s">
        <v>40</v>
      </c>
      <c r="F40" s="6" t="n">
        <v>1</v>
      </c>
      <c r="G40" s="6" t="n">
        <f aca="false">IF(F40=0,0,1)</f>
        <v>1</v>
      </c>
      <c r="H40" s="6" t="str">
        <f aca="false">IF(E40="RECOVERY","RECOVERY_START",E40)</f>
        <v>BASELINE_COMPATIBLE</v>
      </c>
      <c r="I40" s="6" t="str">
        <f aca="false">H41</f>
        <v>BASELINE_COMPATIBLE</v>
      </c>
      <c r="J40" s="6" t="n">
        <f aca="false">IF(AND(G40=1,G41=1),1,0)</f>
        <v>1</v>
      </c>
    </row>
    <row r="41" customFormat="false" ht="15" hidden="false" customHeight="false" outlineLevel="0" collapsed="false">
      <c r="A41" s="6" t="n">
        <v>0</v>
      </c>
      <c r="B41" s="6" t="n">
        <v>39</v>
      </c>
      <c r="C41" s="6" t="s">
        <v>79</v>
      </c>
      <c r="D41" s="6" t="s">
        <v>80</v>
      </c>
      <c r="E41" s="6" t="s">
        <v>40</v>
      </c>
      <c r="F41" s="6" t="n">
        <v>1</v>
      </c>
      <c r="G41" s="6" t="n">
        <f aca="false">IF(F41=0,0,1)</f>
        <v>1</v>
      </c>
      <c r="H41" s="6" t="str">
        <f aca="false">IF(E41="RECOVERY","RECOVERY_START",E41)</f>
        <v>BASELINE_COMPATIBLE</v>
      </c>
      <c r="I41" s="6" t="str">
        <f aca="false">H42</f>
        <v>BASELINE_COMPATIBLE</v>
      </c>
      <c r="J41" s="6" t="n">
        <f aca="false">IF(AND(G41=1,G42=1),1,0)</f>
        <v>1</v>
      </c>
    </row>
    <row r="42" customFormat="false" ht="15" hidden="false" customHeight="false" outlineLevel="0" collapsed="false">
      <c r="A42" s="6" t="n">
        <v>0</v>
      </c>
      <c r="B42" s="6" t="n">
        <v>40</v>
      </c>
      <c r="C42" s="6" t="s">
        <v>80</v>
      </c>
      <c r="D42" s="6" t="s">
        <v>81</v>
      </c>
      <c r="E42" s="6" t="s">
        <v>40</v>
      </c>
      <c r="F42" s="6" t="n">
        <v>1</v>
      </c>
      <c r="G42" s="6" t="n">
        <f aca="false">IF(F42=0,0,1)</f>
        <v>1</v>
      </c>
      <c r="H42" s="6" t="str">
        <f aca="false">IF(E42="RECOVERY","RECOVERY_START",E42)</f>
        <v>BASELINE_COMPATIBLE</v>
      </c>
      <c r="I42" s="6" t="str">
        <f aca="false">H43</f>
        <v>BASELINE_COMPATIBLE</v>
      </c>
      <c r="J42" s="6" t="n">
        <f aca="false">IF(AND(G42=1,G43=1),1,0)</f>
        <v>1</v>
      </c>
    </row>
    <row r="43" customFormat="false" ht="15" hidden="false" customHeight="false" outlineLevel="0" collapsed="false">
      <c r="A43" s="6" t="n">
        <v>0</v>
      </c>
      <c r="B43" s="6" t="n">
        <v>41</v>
      </c>
      <c r="C43" s="6" t="s">
        <v>81</v>
      </c>
      <c r="D43" s="6" t="s">
        <v>82</v>
      </c>
      <c r="E43" s="6" t="s">
        <v>40</v>
      </c>
      <c r="F43" s="6" t="n">
        <v>1</v>
      </c>
      <c r="G43" s="6" t="n">
        <f aca="false">IF(F43=0,0,1)</f>
        <v>1</v>
      </c>
      <c r="H43" s="6" t="str">
        <f aca="false">IF(E43="RECOVERY","RECOVERY_START",E43)</f>
        <v>BASELINE_COMPATIBLE</v>
      </c>
      <c r="I43" s="6" t="str">
        <f aca="false">H44</f>
        <v>BASELINE_COMPATIBLE</v>
      </c>
      <c r="J43" s="6" t="n">
        <f aca="false">IF(AND(G43=1,G44=1),1,0)</f>
        <v>1</v>
      </c>
    </row>
    <row r="44" customFormat="false" ht="15" hidden="false" customHeight="false" outlineLevel="0" collapsed="false">
      <c r="A44" s="6" t="n">
        <v>0</v>
      </c>
      <c r="B44" s="6" t="n">
        <v>42</v>
      </c>
      <c r="C44" s="6" t="s">
        <v>82</v>
      </c>
      <c r="D44" s="6" t="s">
        <v>83</v>
      </c>
      <c r="E44" s="6" t="s">
        <v>40</v>
      </c>
      <c r="F44" s="6" t="n">
        <v>1</v>
      </c>
      <c r="G44" s="6" t="n">
        <f aca="false">IF(F44=0,0,1)</f>
        <v>1</v>
      </c>
      <c r="H44" s="6" t="str">
        <f aca="false">IF(E44="RECOVERY","RECOVERY_START",E44)</f>
        <v>BASELINE_COMPATIBLE</v>
      </c>
      <c r="I44" s="6" t="str">
        <f aca="false">H45</f>
        <v>BASELINE_COMPATIBLE</v>
      </c>
      <c r="J44" s="6" t="n">
        <f aca="false">IF(AND(G44=1,G45=1),1,0)</f>
        <v>1</v>
      </c>
    </row>
    <row r="45" customFormat="false" ht="15" hidden="false" customHeight="false" outlineLevel="0" collapsed="false">
      <c r="A45" s="6" t="n">
        <v>0</v>
      </c>
      <c r="B45" s="6" t="n">
        <v>43</v>
      </c>
      <c r="C45" s="6" t="s">
        <v>83</v>
      </c>
      <c r="D45" s="6" t="s">
        <v>84</v>
      </c>
      <c r="E45" s="6" t="s">
        <v>40</v>
      </c>
      <c r="F45" s="6" t="n">
        <v>1</v>
      </c>
      <c r="G45" s="6" t="n">
        <f aca="false">IF(F45=0,0,1)</f>
        <v>1</v>
      </c>
      <c r="H45" s="6" t="str">
        <f aca="false">IF(E45="RECOVERY","RECOVERY_START",E45)</f>
        <v>BASELINE_COMPATIBLE</v>
      </c>
      <c r="I45" s="6" t="str">
        <f aca="false">H46</f>
        <v>BASELINE_COMPATIBLE</v>
      </c>
      <c r="J45" s="6" t="n">
        <f aca="false">IF(AND(G45=1,G46=1),1,0)</f>
        <v>1</v>
      </c>
    </row>
    <row r="46" customFormat="false" ht="15" hidden="false" customHeight="false" outlineLevel="0" collapsed="false">
      <c r="A46" s="6" t="n">
        <v>0</v>
      </c>
      <c r="B46" s="6" t="n">
        <v>44</v>
      </c>
      <c r="C46" s="6" t="s">
        <v>84</v>
      </c>
      <c r="D46" s="6" t="s">
        <v>85</v>
      </c>
      <c r="E46" s="6" t="s">
        <v>40</v>
      </c>
      <c r="F46" s="6" t="n">
        <v>1</v>
      </c>
      <c r="G46" s="6" t="n">
        <f aca="false">IF(F46=0,0,1)</f>
        <v>1</v>
      </c>
      <c r="H46" s="6" t="str">
        <f aca="false">IF(E46="RECOVERY","RECOVERY_START",E46)</f>
        <v>BASELINE_COMPATIBLE</v>
      </c>
      <c r="I46" s="6" t="str">
        <f aca="false">H47</f>
        <v>BASELINE_COMPATIBLE</v>
      </c>
      <c r="J46" s="6" t="n">
        <f aca="false">IF(AND(G46=1,G47=1),1,0)</f>
        <v>1</v>
      </c>
    </row>
    <row r="47" customFormat="false" ht="15" hidden="false" customHeight="false" outlineLevel="0" collapsed="false">
      <c r="A47" s="6" t="n">
        <v>0</v>
      </c>
      <c r="B47" s="6" t="n">
        <v>45</v>
      </c>
      <c r="C47" s="6" t="s">
        <v>85</v>
      </c>
      <c r="D47" s="6" t="s">
        <v>86</v>
      </c>
      <c r="E47" s="6" t="s">
        <v>40</v>
      </c>
      <c r="F47" s="6" t="n">
        <v>1</v>
      </c>
      <c r="G47" s="6" t="n">
        <f aca="false">IF(F47=0,0,1)</f>
        <v>1</v>
      </c>
      <c r="H47" s="6" t="str">
        <f aca="false">IF(E47="RECOVERY","RECOVERY_START",E47)</f>
        <v>BASELINE_COMPATIBLE</v>
      </c>
      <c r="I47" s="6" t="str">
        <f aca="false">H48</f>
        <v>BASELINE_COMPATIBLE</v>
      </c>
      <c r="J47" s="6" t="n">
        <f aca="false">IF(AND(G47=1,G48=1),1,0)</f>
        <v>1</v>
      </c>
    </row>
    <row r="48" customFormat="false" ht="15" hidden="false" customHeight="false" outlineLevel="0" collapsed="false">
      <c r="A48" s="6" t="n">
        <v>0</v>
      </c>
      <c r="B48" s="6" t="n">
        <v>46</v>
      </c>
      <c r="C48" s="6" t="s">
        <v>86</v>
      </c>
      <c r="D48" s="6" t="s">
        <v>87</v>
      </c>
      <c r="E48" s="6" t="s">
        <v>40</v>
      </c>
      <c r="F48" s="6" t="n">
        <v>1</v>
      </c>
      <c r="G48" s="6" t="n">
        <f aca="false">IF(F48=0,0,1)</f>
        <v>1</v>
      </c>
      <c r="H48" s="6" t="str">
        <f aca="false">IF(E48="RECOVERY","RECOVERY_START",E48)</f>
        <v>BASELINE_COMPATIBLE</v>
      </c>
      <c r="I48" s="6" t="str">
        <f aca="false">H49</f>
        <v>BASELINE_COMPATIBLE</v>
      </c>
      <c r="J48" s="6" t="n">
        <f aca="false">IF(AND(G48=1,G49=1),1,0)</f>
        <v>1</v>
      </c>
    </row>
    <row r="49" customFormat="false" ht="15" hidden="false" customHeight="false" outlineLevel="0" collapsed="false">
      <c r="A49" s="6" t="n">
        <v>0</v>
      </c>
      <c r="B49" s="6" t="n">
        <v>47</v>
      </c>
      <c r="C49" s="6" t="s">
        <v>87</v>
      </c>
      <c r="D49" s="6" t="s">
        <v>88</v>
      </c>
      <c r="E49" s="6" t="s">
        <v>40</v>
      </c>
      <c r="F49" s="6" t="n">
        <v>1</v>
      </c>
      <c r="G49" s="6" t="n">
        <f aca="false">IF(F49=0,0,1)</f>
        <v>1</v>
      </c>
      <c r="H49" s="6" t="str">
        <f aca="false">IF(E49="RECOVERY","RECOVERY_START",E49)</f>
        <v>BASELINE_COMPATIBLE</v>
      </c>
      <c r="I49" s="6" t="str">
        <f aca="false">H50</f>
        <v>BASELINE_COMPATIBLE</v>
      </c>
      <c r="J49" s="6" t="n">
        <f aca="false">IF(AND(G49=1,G50=1),1,0)</f>
        <v>1</v>
      </c>
    </row>
    <row r="50" customFormat="false" ht="15" hidden="false" customHeight="false" outlineLevel="0" collapsed="false">
      <c r="A50" s="6" t="n">
        <v>0</v>
      </c>
      <c r="B50" s="6" t="n">
        <v>48</v>
      </c>
      <c r="C50" s="6" t="s">
        <v>88</v>
      </c>
      <c r="D50" s="6" t="s">
        <v>89</v>
      </c>
      <c r="E50" s="6" t="s">
        <v>40</v>
      </c>
      <c r="F50" s="6" t="n">
        <v>1</v>
      </c>
      <c r="G50" s="6" t="n">
        <f aca="false">IF(F50=0,0,1)</f>
        <v>1</v>
      </c>
      <c r="H50" s="6" t="str">
        <f aca="false">IF(E50="RECOVERY","RECOVERY_START",E50)</f>
        <v>BASELINE_COMPATIBLE</v>
      </c>
      <c r="I50" s="6" t="str">
        <f aca="false">H51</f>
        <v>BASELINE_COMPATIBLE</v>
      </c>
      <c r="J50" s="6" t="n">
        <f aca="false">IF(AND(G50=1,G51=1),1,0)</f>
        <v>1</v>
      </c>
    </row>
    <row r="51" customFormat="false" ht="15" hidden="false" customHeight="false" outlineLevel="0" collapsed="false">
      <c r="A51" s="6" t="n">
        <v>0</v>
      </c>
      <c r="B51" s="6" t="n">
        <v>49</v>
      </c>
      <c r="C51" s="6" t="s">
        <v>89</v>
      </c>
      <c r="D51" s="6" t="s">
        <v>90</v>
      </c>
      <c r="E51" s="6" t="s">
        <v>40</v>
      </c>
      <c r="F51" s="6" t="n">
        <v>1</v>
      </c>
      <c r="G51" s="6" t="n">
        <f aca="false">IF(F51=0,0,1)</f>
        <v>1</v>
      </c>
      <c r="H51" s="6" t="str">
        <f aca="false">IF(E51="RECOVERY","RECOVERY_START",E51)</f>
        <v>BASELINE_COMPATIBLE</v>
      </c>
      <c r="I51" s="6" t="str">
        <f aca="false">H52</f>
        <v>BASELINE_COMPATIBLE</v>
      </c>
      <c r="J51" s="6" t="n">
        <f aca="false">IF(AND(G51=1,G52=1),1,0)</f>
        <v>1</v>
      </c>
    </row>
    <row r="52" customFormat="false" ht="15" hidden="false" customHeight="false" outlineLevel="0" collapsed="false">
      <c r="A52" s="6" t="n">
        <v>0</v>
      </c>
      <c r="B52" s="6" t="n">
        <v>50</v>
      </c>
      <c r="C52" s="6" t="s">
        <v>90</v>
      </c>
      <c r="D52" s="6" t="s">
        <v>91</v>
      </c>
      <c r="E52" s="6" t="s">
        <v>40</v>
      </c>
      <c r="F52" s="6" t="n">
        <v>1</v>
      </c>
      <c r="G52" s="6" t="n">
        <f aca="false">IF(F52=0,0,1)</f>
        <v>1</v>
      </c>
      <c r="H52" s="6" t="str">
        <f aca="false">IF(E52="RECOVERY","RECOVERY_START",E52)</f>
        <v>BASELINE_COMPATIBLE</v>
      </c>
      <c r="I52" s="6" t="str">
        <f aca="false">H53</f>
        <v>BASELINE_COMPATIBLE</v>
      </c>
      <c r="J52" s="6" t="n">
        <f aca="false">IF(AND(G52=1,G53=1),1,0)</f>
        <v>1</v>
      </c>
    </row>
    <row r="53" customFormat="false" ht="15" hidden="false" customHeight="false" outlineLevel="0" collapsed="false">
      <c r="A53" s="6" t="n">
        <v>0</v>
      </c>
      <c r="B53" s="6" t="n">
        <v>51</v>
      </c>
      <c r="C53" s="6" t="s">
        <v>91</v>
      </c>
      <c r="D53" s="6" t="s">
        <v>92</v>
      </c>
      <c r="E53" s="6" t="s">
        <v>40</v>
      </c>
      <c r="F53" s="6" t="n">
        <v>1</v>
      </c>
      <c r="G53" s="6" t="n">
        <f aca="false">IF(F53=0,0,1)</f>
        <v>1</v>
      </c>
      <c r="H53" s="6" t="str">
        <f aca="false">IF(E53="RECOVERY","RECOVERY_START",E53)</f>
        <v>BASELINE_COMPATIBLE</v>
      </c>
      <c r="I53" s="6" t="str">
        <f aca="false">H54</f>
        <v>BASELINE_COMPATIBLE</v>
      </c>
      <c r="J53" s="6" t="n">
        <f aca="false">IF(AND(G53=1,G54=1),1,0)</f>
        <v>1</v>
      </c>
    </row>
    <row r="54" customFormat="false" ht="15" hidden="false" customHeight="false" outlineLevel="0" collapsed="false">
      <c r="A54" s="6" t="n">
        <v>0</v>
      </c>
      <c r="B54" s="6" t="n">
        <v>52</v>
      </c>
      <c r="C54" s="6" t="s">
        <v>92</v>
      </c>
      <c r="D54" s="6" t="s">
        <v>93</v>
      </c>
      <c r="E54" s="6" t="s">
        <v>40</v>
      </c>
      <c r="F54" s="6" t="n">
        <v>1</v>
      </c>
      <c r="G54" s="6" t="n">
        <f aca="false">IF(F54=0,0,1)</f>
        <v>1</v>
      </c>
      <c r="H54" s="6" t="str">
        <f aca="false">IF(E54="RECOVERY","RECOVERY_START",E54)</f>
        <v>BASELINE_COMPATIBLE</v>
      </c>
      <c r="I54" s="6" t="str">
        <f aca="false">H55</f>
        <v>BASELINE_COMPATIBLE</v>
      </c>
      <c r="J54" s="6" t="n">
        <f aca="false">IF(AND(G54=1,G55=1),1,0)</f>
        <v>1</v>
      </c>
    </row>
    <row r="55" customFormat="false" ht="15" hidden="false" customHeight="false" outlineLevel="0" collapsed="false">
      <c r="A55" s="6" t="n">
        <v>0</v>
      </c>
      <c r="B55" s="6" t="n">
        <v>53</v>
      </c>
      <c r="C55" s="6" t="s">
        <v>93</v>
      </c>
      <c r="D55" s="6" t="s">
        <v>94</v>
      </c>
      <c r="E55" s="6" t="s">
        <v>40</v>
      </c>
      <c r="F55" s="6" t="n">
        <v>1</v>
      </c>
      <c r="G55" s="6" t="n">
        <f aca="false">IF(F55=0,0,1)</f>
        <v>1</v>
      </c>
      <c r="H55" s="6" t="str">
        <f aca="false">IF(E55="RECOVERY","RECOVERY_START",E55)</f>
        <v>BASELINE_COMPATIBLE</v>
      </c>
      <c r="I55" s="6" t="str">
        <f aca="false">H56</f>
        <v>BASELINE_COMPATIBLE</v>
      </c>
      <c r="J55" s="6" t="n">
        <f aca="false">IF(AND(G55=1,G56=1),1,0)</f>
        <v>1</v>
      </c>
    </row>
    <row r="56" customFormat="false" ht="15" hidden="false" customHeight="false" outlineLevel="0" collapsed="false">
      <c r="A56" s="6" t="n">
        <v>0</v>
      </c>
      <c r="B56" s="6" t="n">
        <v>54</v>
      </c>
      <c r="C56" s="6" t="s">
        <v>94</v>
      </c>
      <c r="D56" s="6" t="s">
        <v>95</v>
      </c>
      <c r="E56" s="6" t="s">
        <v>40</v>
      </c>
      <c r="F56" s="6" t="n">
        <v>1</v>
      </c>
      <c r="G56" s="6" t="n">
        <f aca="false">IF(F56=0,0,1)</f>
        <v>1</v>
      </c>
      <c r="H56" s="6" t="str">
        <f aca="false">IF(E56="RECOVERY","RECOVERY_START",E56)</f>
        <v>BASELINE_COMPATIBLE</v>
      </c>
      <c r="I56" s="6" t="str">
        <f aca="false">H57</f>
        <v>BASELINE_COMPATIBLE</v>
      </c>
      <c r="J56" s="6" t="n">
        <f aca="false">IF(AND(G56=1,G57=1),1,0)</f>
        <v>1</v>
      </c>
    </row>
    <row r="57" customFormat="false" ht="15" hidden="false" customHeight="false" outlineLevel="0" collapsed="false">
      <c r="A57" s="6" t="n">
        <v>0</v>
      </c>
      <c r="B57" s="6" t="n">
        <v>55</v>
      </c>
      <c r="C57" s="6" t="s">
        <v>95</v>
      </c>
      <c r="D57" s="6" t="s">
        <v>96</v>
      </c>
      <c r="E57" s="6" t="s">
        <v>40</v>
      </c>
      <c r="F57" s="6" t="n">
        <v>1</v>
      </c>
      <c r="G57" s="6" t="n">
        <f aca="false">IF(F57=0,0,1)</f>
        <v>1</v>
      </c>
      <c r="H57" s="6" t="str">
        <f aca="false">IF(E57="RECOVERY","RECOVERY_START",E57)</f>
        <v>BASELINE_COMPATIBLE</v>
      </c>
      <c r="I57" s="6" t="str">
        <f aca="false">H58</f>
        <v>BASELINE_COMPATIBLE</v>
      </c>
      <c r="J57" s="6" t="n">
        <f aca="false">IF(AND(G57=1,G58=1),1,0)</f>
        <v>1</v>
      </c>
    </row>
    <row r="58" customFormat="false" ht="15" hidden="false" customHeight="false" outlineLevel="0" collapsed="false">
      <c r="A58" s="6" t="n">
        <v>0</v>
      </c>
      <c r="B58" s="6" t="n">
        <v>56</v>
      </c>
      <c r="C58" s="6" t="s">
        <v>96</v>
      </c>
      <c r="D58" s="6" t="s">
        <v>97</v>
      </c>
      <c r="E58" s="6" t="s">
        <v>40</v>
      </c>
      <c r="F58" s="6" t="n">
        <v>1</v>
      </c>
      <c r="G58" s="6" t="n">
        <f aca="false">IF(F58=0,0,1)</f>
        <v>1</v>
      </c>
      <c r="H58" s="6" t="str">
        <f aca="false">IF(E58="RECOVERY","RECOVERY_START",E58)</f>
        <v>BASELINE_COMPATIBLE</v>
      </c>
      <c r="I58" s="6" t="str">
        <f aca="false">H59</f>
        <v>BASELINE_COMPATIBLE</v>
      </c>
      <c r="J58" s="6" t="n">
        <f aca="false">IF(AND(G58=1,G59=1),1,0)</f>
        <v>1</v>
      </c>
    </row>
    <row r="59" customFormat="false" ht="15" hidden="false" customHeight="false" outlineLevel="0" collapsed="false">
      <c r="A59" s="6" t="n">
        <v>0</v>
      </c>
      <c r="B59" s="6" t="n">
        <v>57</v>
      </c>
      <c r="C59" s="6" t="s">
        <v>97</v>
      </c>
      <c r="D59" s="6" t="s">
        <v>98</v>
      </c>
      <c r="E59" s="6" t="s">
        <v>40</v>
      </c>
      <c r="F59" s="6" t="n">
        <v>1</v>
      </c>
      <c r="G59" s="6" t="n">
        <f aca="false">IF(F59=0,0,1)</f>
        <v>1</v>
      </c>
      <c r="H59" s="6" t="str">
        <f aca="false">IF(E59="RECOVERY","RECOVERY_START",E59)</f>
        <v>BASELINE_COMPATIBLE</v>
      </c>
      <c r="I59" s="6" t="str">
        <f aca="false">H60</f>
        <v>BASELINE_COMPATIBLE</v>
      </c>
      <c r="J59" s="6" t="n">
        <f aca="false">IF(AND(G59=1,G60=1),1,0)</f>
        <v>1</v>
      </c>
    </row>
    <row r="60" customFormat="false" ht="15" hidden="false" customHeight="false" outlineLevel="0" collapsed="false">
      <c r="A60" s="6" t="n">
        <v>0</v>
      </c>
      <c r="B60" s="6" t="n">
        <v>58</v>
      </c>
      <c r="C60" s="6" t="s">
        <v>98</v>
      </c>
      <c r="D60" s="6" t="s">
        <v>99</v>
      </c>
      <c r="E60" s="6" t="s">
        <v>40</v>
      </c>
      <c r="F60" s="6" t="n">
        <v>1</v>
      </c>
      <c r="G60" s="6" t="n">
        <f aca="false">IF(F60=0,0,1)</f>
        <v>1</v>
      </c>
      <c r="H60" s="6" t="str">
        <f aca="false">IF(E60="RECOVERY","RECOVERY_START",E60)</f>
        <v>BASELINE_COMPATIBLE</v>
      </c>
      <c r="I60" s="6" t="str">
        <f aca="false">H61</f>
        <v>BASELINE_COMPATIBLE</v>
      </c>
      <c r="J60" s="6" t="n">
        <f aca="false">IF(AND(G60=1,G61=1),1,0)</f>
        <v>1</v>
      </c>
    </row>
    <row r="61" customFormat="false" ht="15" hidden="false" customHeight="false" outlineLevel="0" collapsed="false">
      <c r="A61" s="6" t="n">
        <v>0</v>
      </c>
      <c r="B61" s="6" t="n">
        <v>59</v>
      </c>
      <c r="C61" s="6" t="s">
        <v>99</v>
      </c>
      <c r="D61" s="6" t="s">
        <v>100</v>
      </c>
      <c r="E61" s="6" t="s">
        <v>40</v>
      </c>
      <c r="F61" s="6" t="n">
        <v>1</v>
      </c>
      <c r="G61" s="6" t="n">
        <f aca="false">IF(F61=0,0,1)</f>
        <v>1</v>
      </c>
      <c r="H61" s="6" t="str">
        <f aca="false">IF(E61="RECOVERY","RECOVERY_START",E61)</f>
        <v>BASELINE_COMPATIBLE</v>
      </c>
      <c r="I61" s="6" t="str">
        <f aca="false">H62</f>
        <v>BASELINE_COMPATIBLE</v>
      </c>
      <c r="J61" s="6" t="n">
        <f aca="false">IF(AND(G61=1,G62=1),1,0)</f>
        <v>1</v>
      </c>
    </row>
    <row r="62" customFormat="false" ht="15" hidden="false" customHeight="false" outlineLevel="0" collapsed="false">
      <c r="A62" s="6" t="n">
        <v>0</v>
      </c>
      <c r="B62" s="6" t="n">
        <v>60</v>
      </c>
      <c r="C62" s="6" t="s">
        <v>100</v>
      </c>
      <c r="D62" s="6" t="s">
        <v>101</v>
      </c>
      <c r="E62" s="6" t="s">
        <v>40</v>
      </c>
      <c r="F62" s="6" t="n">
        <v>1</v>
      </c>
      <c r="G62" s="6" t="n">
        <f aca="false">IF(F62=0,0,1)</f>
        <v>1</v>
      </c>
      <c r="H62" s="6" t="str">
        <f aca="false">IF(E62="RECOVERY","RECOVERY_START",E62)</f>
        <v>BASELINE_COMPATIBLE</v>
      </c>
      <c r="I62" s="6" t="str">
        <f aca="false">H63</f>
        <v>BASELINE_COMPATIBLE</v>
      </c>
      <c r="J62" s="6" t="n">
        <f aca="false">IF(AND(G62=1,G63=1),1,0)</f>
        <v>1</v>
      </c>
    </row>
    <row r="63" customFormat="false" ht="15" hidden="false" customHeight="false" outlineLevel="0" collapsed="false">
      <c r="A63" s="6" t="n">
        <v>0</v>
      </c>
      <c r="B63" s="6" t="n">
        <v>61</v>
      </c>
      <c r="C63" s="6" t="s">
        <v>101</v>
      </c>
      <c r="D63" s="6" t="s">
        <v>102</v>
      </c>
      <c r="E63" s="6" t="s">
        <v>40</v>
      </c>
      <c r="F63" s="6" t="n">
        <v>1</v>
      </c>
      <c r="G63" s="6" t="n">
        <f aca="false">IF(F63=0,0,1)</f>
        <v>1</v>
      </c>
      <c r="H63" s="6" t="str">
        <f aca="false">IF(E63="RECOVERY","RECOVERY_START",E63)</f>
        <v>BASELINE_COMPATIBLE</v>
      </c>
      <c r="I63" s="6" t="str">
        <f aca="false">H64</f>
        <v>BASELINE_COMPATIBLE</v>
      </c>
      <c r="J63" s="6" t="n">
        <f aca="false">IF(AND(G63=1,G64=1),1,0)</f>
        <v>1</v>
      </c>
    </row>
    <row r="64" customFormat="false" ht="15" hidden="false" customHeight="false" outlineLevel="0" collapsed="false">
      <c r="A64" s="6" t="n">
        <v>0</v>
      </c>
      <c r="B64" s="6" t="n">
        <v>62</v>
      </c>
      <c r="C64" s="6" t="s">
        <v>102</v>
      </c>
      <c r="D64" s="6" t="s">
        <v>103</v>
      </c>
      <c r="E64" s="6" t="s">
        <v>40</v>
      </c>
      <c r="F64" s="6" t="n">
        <v>1</v>
      </c>
      <c r="G64" s="6" t="n">
        <f aca="false">IF(F64=0,0,1)</f>
        <v>1</v>
      </c>
      <c r="H64" s="6" t="str">
        <f aca="false">IF(E64="RECOVERY","RECOVERY_START",E64)</f>
        <v>BASELINE_COMPATIBLE</v>
      </c>
      <c r="I64" s="6" t="str">
        <f aca="false">H65</f>
        <v>BASELINE_COMPATIBLE</v>
      </c>
      <c r="J64" s="6" t="n">
        <f aca="false">IF(AND(G64=1,G65=1),1,0)</f>
        <v>1</v>
      </c>
    </row>
    <row r="65" customFormat="false" ht="15" hidden="false" customHeight="false" outlineLevel="0" collapsed="false">
      <c r="A65" s="6" t="n">
        <v>0</v>
      </c>
      <c r="B65" s="6" t="n">
        <v>63</v>
      </c>
      <c r="C65" s="6" t="s">
        <v>103</v>
      </c>
      <c r="D65" s="6" t="s">
        <v>104</v>
      </c>
      <c r="E65" s="6" t="s">
        <v>40</v>
      </c>
      <c r="F65" s="6" t="n">
        <v>1</v>
      </c>
      <c r="G65" s="6" t="n">
        <f aca="false">IF(F65=0,0,1)</f>
        <v>1</v>
      </c>
      <c r="H65" s="6" t="str">
        <f aca="false">IF(E65="RECOVERY","RECOVERY_START",E65)</f>
        <v>BASELINE_COMPATIBLE</v>
      </c>
      <c r="I65" s="6" t="str">
        <f aca="false">H66</f>
        <v>BASELINE_COMPATIBLE</v>
      </c>
      <c r="J65" s="6" t="n">
        <f aca="false">IF(AND(G65=1,G66=1),1,0)</f>
        <v>1</v>
      </c>
    </row>
    <row r="66" customFormat="false" ht="15" hidden="false" customHeight="false" outlineLevel="0" collapsed="false">
      <c r="A66" s="6" t="n">
        <v>0</v>
      </c>
      <c r="B66" s="6" t="n">
        <v>64</v>
      </c>
      <c r="C66" s="6" t="s">
        <v>104</v>
      </c>
      <c r="D66" s="6" t="s">
        <v>105</v>
      </c>
      <c r="E66" s="6" t="s">
        <v>40</v>
      </c>
      <c r="F66" s="6" t="n">
        <v>1</v>
      </c>
      <c r="G66" s="6" t="n">
        <f aca="false">IF(F66=0,0,1)</f>
        <v>1</v>
      </c>
      <c r="H66" s="6" t="str">
        <f aca="false">IF(E66="RECOVERY","RECOVERY_START",E66)</f>
        <v>BASELINE_COMPATIBLE</v>
      </c>
      <c r="I66" s="6" t="str">
        <f aca="false">H67</f>
        <v>BASELINE_COMPATIBLE</v>
      </c>
      <c r="J66" s="6" t="n">
        <f aca="false">IF(AND(G66=1,G67=1),1,0)</f>
        <v>1</v>
      </c>
    </row>
    <row r="67" customFormat="false" ht="15" hidden="false" customHeight="false" outlineLevel="0" collapsed="false">
      <c r="A67" s="6" t="n">
        <v>0</v>
      </c>
      <c r="B67" s="6" t="n">
        <v>65</v>
      </c>
      <c r="C67" s="6" t="s">
        <v>105</v>
      </c>
      <c r="D67" s="6" t="s">
        <v>106</v>
      </c>
      <c r="E67" s="6" t="s">
        <v>40</v>
      </c>
      <c r="F67" s="6" t="n">
        <v>1</v>
      </c>
      <c r="G67" s="6" t="n">
        <f aca="false">IF(F67=0,0,1)</f>
        <v>1</v>
      </c>
      <c r="H67" s="6" t="str">
        <f aca="false">IF(E67="RECOVERY","RECOVERY_START",E67)</f>
        <v>BASELINE_COMPATIBLE</v>
      </c>
      <c r="I67" s="6" t="str">
        <f aca="false">H68</f>
        <v>BASELINE_COMPATIBLE</v>
      </c>
      <c r="J67" s="6" t="n">
        <f aca="false">IF(AND(G67=1,G68=1),1,0)</f>
        <v>1</v>
      </c>
    </row>
    <row r="68" customFormat="false" ht="15" hidden="false" customHeight="false" outlineLevel="0" collapsed="false">
      <c r="A68" s="6" t="n">
        <v>0</v>
      </c>
      <c r="B68" s="6" t="n">
        <v>66</v>
      </c>
      <c r="C68" s="6" t="s">
        <v>106</v>
      </c>
      <c r="D68" s="6" t="s">
        <v>107</v>
      </c>
      <c r="E68" s="6" t="s">
        <v>40</v>
      </c>
      <c r="F68" s="6" t="n">
        <v>1</v>
      </c>
      <c r="G68" s="6" t="n">
        <f aca="false">IF(F68=0,0,1)</f>
        <v>1</v>
      </c>
      <c r="H68" s="6" t="str">
        <f aca="false">IF(E68="RECOVERY","RECOVERY_START",E68)</f>
        <v>BASELINE_COMPATIBLE</v>
      </c>
      <c r="I68" s="6" t="str">
        <f aca="false">H69</f>
        <v>BASELINE_COMPATIBLE</v>
      </c>
      <c r="J68" s="6" t="n">
        <f aca="false">IF(AND(G68=1,G69=1),1,0)</f>
        <v>1</v>
      </c>
    </row>
    <row r="69" customFormat="false" ht="15" hidden="false" customHeight="false" outlineLevel="0" collapsed="false">
      <c r="A69" s="6" t="n">
        <v>0</v>
      </c>
      <c r="B69" s="6" t="n">
        <v>67</v>
      </c>
      <c r="C69" s="6" t="s">
        <v>107</v>
      </c>
      <c r="D69" s="6" t="s">
        <v>108</v>
      </c>
      <c r="E69" s="6" t="s">
        <v>40</v>
      </c>
      <c r="F69" s="6" t="n">
        <v>1</v>
      </c>
      <c r="G69" s="6" t="n">
        <f aca="false">IF(F69=0,0,1)</f>
        <v>1</v>
      </c>
      <c r="H69" s="6" t="str">
        <f aca="false">IF(E69="RECOVERY","RECOVERY_START",E69)</f>
        <v>BASELINE_COMPATIBLE</v>
      </c>
      <c r="I69" s="6" t="str">
        <f aca="false">H70</f>
        <v>BASELINE_COMPATIBLE</v>
      </c>
      <c r="J69" s="6" t="n">
        <f aca="false">IF(AND(G69=1,G70=1),1,0)</f>
        <v>1</v>
      </c>
    </row>
    <row r="70" customFormat="false" ht="15" hidden="false" customHeight="false" outlineLevel="0" collapsed="false">
      <c r="A70" s="6" t="n">
        <v>0</v>
      </c>
      <c r="B70" s="6" t="n">
        <v>68</v>
      </c>
      <c r="C70" s="6" t="s">
        <v>108</v>
      </c>
      <c r="D70" s="6" t="s">
        <v>109</v>
      </c>
      <c r="E70" s="6" t="s">
        <v>40</v>
      </c>
      <c r="F70" s="6" t="n">
        <v>1</v>
      </c>
      <c r="G70" s="6" t="n">
        <f aca="false">IF(F70=0,0,1)</f>
        <v>1</v>
      </c>
      <c r="H70" s="6" t="str">
        <f aca="false">IF(E70="RECOVERY","RECOVERY_START",E70)</f>
        <v>BASELINE_COMPATIBLE</v>
      </c>
      <c r="I70" s="6" t="str">
        <f aca="false">H71</f>
        <v>BASELINE_COMPATIBLE</v>
      </c>
      <c r="J70" s="6" t="n">
        <f aca="false">IF(AND(G70=1,G71=1),1,0)</f>
        <v>1</v>
      </c>
    </row>
    <row r="71" customFormat="false" ht="15" hidden="false" customHeight="false" outlineLevel="0" collapsed="false">
      <c r="A71" s="6" t="n">
        <v>0</v>
      </c>
      <c r="B71" s="6" t="n">
        <v>69</v>
      </c>
      <c r="C71" s="6" t="s">
        <v>109</v>
      </c>
      <c r="D71" s="6" t="s">
        <v>110</v>
      </c>
      <c r="E71" s="6" t="s">
        <v>40</v>
      </c>
      <c r="F71" s="6" t="n">
        <v>1</v>
      </c>
      <c r="G71" s="6" t="n">
        <f aca="false">IF(F71=0,0,1)</f>
        <v>1</v>
      </c>
      <c r="H71" s="6" t="str">
        <f aca="false">IF(E71="RECOVERY","RECOVERY_START",E71)</f>
        <v>BASELINE_COMPATIBLE</v>
      </c>
      <c r="I71" s="6" t="str">
        <f aca="false">H72</f>
        <v>BASELINE_COMPATIBLE</v>
      </c>
      <c r="J71" s="6" t="n">
        <f aca="false">IF(AND(G71=1,G72=1),1,0)</f>
        <v>1</v>
      </c>
    </row>
    <row r="72" customFormat="false" ht="15" hidden="false" customHeight="false" outlineLevel="0" collapsed="false">
      <c r="A72" s="6" t="n">
        <v>0</v>
      </c>
      <c r="B72" s="6" t="n">
        <v>70</v>
      </c>
      <c r="C72" s="6" t="s">
        <v>110</v>
      </c>
      <c r="D72" s="6" t="s">
        <v>111</v>
      </c>
      <c r="E72" s="6" t="s">
        <v>40</v>
      </c>
      <c r="F72" s="6" t="n">
        <v>1</v>
      </c>
      <c r="G72" s="6" t="n">
        <f aca="false">IF(F72=0,0,1)</f>
        <v>1</v>
      </c>
      <c r="H72" s="6" t="str">
        <f aca="false">IF(E72="RECOVERY","RECOVERY_START",E72)</f>
        <v>BASELINE_COMPATIBLE</v>
      </c>
      <c r="I72" s="6" t="str">
        <f aca="false">H73</f>
        <v>BASELINE_COMPATIBLE</v>
      </c>
      <c r="J72" s="6" t="n">
        <f aca="false">IF(AND(G72=1,G73=1),1,0)</f>
        <v>1</v>
      </c>
    </row>
    <row r="73" customFormat="false" ht="15" hidden="false" customHeight="false" outlineLevel="0" collapsed="false">
      <c r="A73" s="6" t="n">
        <v>0</v>
      </c>
      <c r="B73" s="6" t="n">
        <v>71</v>
      </c>
      <c r="C73" s="6" t="s">
        <v>111</v>
      </c>
      <c r="D73" s="6" t="s">
        <v>112</v>
      </c>
      <c r="E73" s="6" t="s">
        <v>40</v>
      </c>
      <c r="F73" s="6" t="n">
        <v>1</v>
      </c>
      <c r="G73" s="6" t="n">
        <f aca="false">IF(F73=0,0,1)</f>
        <v>1</v>
      </c>
      <c r="H73" s="6" t="str">
        <f aca="false">IF(E73="RECOVERY","RECOVERY_START",E73)</f>
        <v>BASELINE_COMPATIBLE</v>
      </c>
      <c r="I73" s="6" t="str">
        <f aca="false">H74</f>
        <v>BASELINE_COMPATIBLE</v>
      </c>
      <c r="J73" s="6" t="n">
        <f aca="false">IF(AND(G73=1,G74=1),1,0)</f>
        <v>0</v>
      </c>
    </row>
    <row r="74" customFormat="false" ht="15" hidden="false" customHeight="false" outlineLevel="0" collapsed="false">
      <c r="A74" s="6" t="n">
        <v>0</v>
      </c>
      <c r="B74" s="6" t="n">
        <v>72</v>
      </c>
      <c r="C74" s="6" t="s">
        <v>112</v>
      </c>
      <c r="D74" s="6" t="s">
        <v>113</v>
      </c>
      <c r="E74" s="6" t="s">
        <v>40</v>
      </c>
      <c r="F74" s="6" t="n">
        <v>0</v>
      </c>
      <c r="G74" s="6" t="n">
        <f aca="false">IF(F74=0,0,1)</f>
        <v>0</v>
      </c>
      <c r="H74" s="6" t="str">
        <f aca="false">IF(E74="RECOVERY","RECOVERY_START",E74)</f>
        <v>BASELINE_COMPATIBLE</v>
      </c>
      <c r="I74" s="6" t="str">
        <f aca="false">H75</f>
        <v>BASELINE_COMPATIBLE</v>
      </c>
      <c r="J74" s="6" t="n">
        <f aca="false">IF(AND(G74=1,G75=1),1,0)</f>
        <v>0</v>
      </c>
    </row>
    <row r="75" customFormat="false" ht="15" hidden="false" customHeight="false" outlineLevel="0" collapsed="false">
      <c r="A75" s="6" t="n">
        <v>0</v>
      </c>
      <c r="B75" s="6" t="n">
        <v>73</v>
      </c>
      <c r="C75" s="6" t="s">
        <v>113</v>
      </c>
      <c r="D75" s="6" t="s">
        <v>114</v>
      </c>
      <c r="E75" s="6" t="s">
        <v>40</v>
      </c>
      <c r="F75" s="6" t="n">
        <v>1</v>
      </c>
      <c r="G75" s="6" t="n">
        <f aca="false">IF(F75=0,0,1)</f>
        <v>1</v>
      </c>
      <c r="H75" s="6" t="str">
        <f aca="false">IF(E75="RECOVERY","RECOVERY_START",E75)</f>
        <v>BASELINE_COMPATIBLE</v>
      </c>
      <c r="I75" s="6" t="str">
        <f aca="false">H76</f>
        <v>BASELINE_COMPATIBLE</v>
      </c>
      <c r="J75" s="6" t="n">
        <f aca="false">IF(AND(G75=1,G76=1),1,0)</f>
        <v>1</v>
      </c>
    </row>
    <row r="76" customFormat="false" ht="15" hidden="false" customHeight="false" outlineLevel="0" collapsed="false">
      <c r="A76" s="6" t="n">
        <v>0</v>
      </c>
      <c r="B76" s="6" t="n">
        <v>74</v>
      </c>
      <c r="C76" s="6" t="s">
        <v>114</v>
      </c>
      <c r="D76" s="6" t="s">
        <v>115</v>
      </c>
      <c r="E76" s="6" t="s">
        <v>40</v>
      </c>
      <c r="F76" s="6" t="n">
        <v>1</v>
      </c>
      <c r="G76" s="6" t="n">
        <f aca="false">IF(F76=0,0,1)</f>
        <v>1</v>
      </c>
      <c r="H76" s="6" t="str">
        <f aca="false">IF(E76="RECOVERY","RECOVERY_START",E76)</f>
        <v>BASELINE_COMPATIBLE</v>
      </c>
      <c r="I76" s="6" t="str">
        <f aca="false">H77</f>
        <v>BASELINE_COMPATIBLE</v>
      </c>
      <c r="J76" s="6" t="n">
        <f aca="false">IF(AND(G76=1,G77=1),1,0)</f>
        <v>1</v>
      </c>
    </row>
    <row r="77" customFormat="false" ht="15" hidden="false" customHeight="false" outlineLevel="0" collapsed="false">
      <c r="A77" s="6" t="n">
        <v>0</v>
      </c>
      <c r="B77" s="6" t="n">
        <v>75</v>
      </c>
      <c r="C77" s="6" t="s">
        <v>115</v>
      </c>
      <c r="D77" s="6" t="s">
        <v>116</v>
      </c>
      <c r="E77" s="6" t="s">
        <v>40</v>
      </c>
      <c r="F77" s="6" t="n">
        <v>1</v>
      </c>
      <c r="G77" s="6" t="n">
        <f aca="false">IF(F77=0,0,1)</f>
        <v>1</v>
      </c>
      <c r="H77" s="6" t="str">
        <f aca="false">IF(E77="RECOVERY","RECOVERY_START",E77)</f>
        <v>BASELINE_COMPATIBLE</v>
      </c>
      <c r="I77" s="6" t="str">
        <f aca="false">H78</f>
        <v>BASELINE_COMPATIBLE</v>
      </c>
      <c r="J77" s="6" t="n">
        <f aca="false">IF(AND(G77=1,G78=1),1,0)</f>
        <v>1</v>
      </c>
    </row>
    <row r="78" customFormat="false" ht="15" hidden="false" customHeight="false" outlineLevel="0" collapsed="false">
      <c r="A78" s="6" t="n">
        <v>0</v>
      </c>
      <c r="B78" s="6" t="n">
        <v>76</v>
      </c>
      <c r="C78" s="6" t="s">
        <v>116</v>
      </c>
      <c r="D78" s="6" t="s">
        <v>117</v>
      </c>
      <c r="E78" s="6" t="s">
        <v>40</v>
      </c>
      <c r="F78" s="6" t="n">
        <v>1</v>
      </c>
      <c r="G78" s="6" t="n">
        <f aca="false">IF(F78=0,0,1)</f>
        <v>1</v>
      </c>
      <c r="H78" s="6" t="str">
        <f aca="false">IF(E78="RECOVERY","RECOVERY_START",E78)</f>
        <v>BASELINE_COMPATIBLE</v>
      </c>
      <c r="I78" s="6" t="str">
        <f aca="false">H79</f>
        <v>BASELINE_COMPATIBLE</v>
      </c>
      <c r="J78" s="6" t="n">
        <f aca="false">IF(AND(G78=1,G79=1),1,0)</f>
        <v>1</v>
      </c>
    </row>
    <row r="79" customFormat="false" ht="15" hidden="false" customHeight="false" outlineLevel="0" collapsed="false">
      <c r="A79" s="6" t="n">
        <v>0</v>
      </c>
      <c r="B79" s="6" t="n">
        <v>77</v>
      </c>
      <c r="C79" s="6" t="s">
        <v>117</v>
      </c>
      <c r="D79" s="6" t="s">
        <v>118</v>
      </c>
      <c r="E79" s="6" t="s">
        <v>40</v>
      </c>
      <c r="F79" s="6" t="n">
        <v>1</v>
      </c>
      <c r="G79" s="6" t="n">
        <f aca="false">IF(F79=0,0,1)</f>
        <v>1</v>
      </c>
      <c r="H79" s="6" t="str">
        <f aca="false">IF(E79="RECOVERY","RECOVERY_START",E79)</f>
        <v>BASELINE_COMPATIBLE</v>
      </c>
      <c r="I79" s="6" t="str">
        <f aca="false">H80</f>
        <v>BASELINE_COMPATIBLE</v>
      </c>
      <c r="J79" s="6" t="n">
        <f aca="false">IF(AND(G79=1,G80=1),1,0)</f>
        <v>1</v>
      </c>
    </row>
    <row r="80" customFormat="false" ht="15" hidden="false" customHeight="false" outlineLevel="0" collapsed="false">
      <c r="A80" s="6" t="n">
        <v>0</v>
      </c>
      <c r="B80" s="6" t="n">
        <v>78</v>
      </c>
      <c r="C80" s="6" t="s">
        <v>118</v>
      </c>
      <c r="D80" s="6" t="s">
        <v>119</v>
      </c>
      <c r="E80" s="6" t="s">
        <v>40</v>
      </c>
      <c r="F80" s="6" t="n">
        <v>1</v>
      </c>
      <c r="G80" s="6" t="n">
        <f aca="false">IF(F80=0,0,1)</f>
        <v>1</v>
      </c>
      <c r="H80" s="6" t="str">
        <f aca="false">IF(E80="RECOVERY","RECOVERY_START",E80)</f>
        <v>BASELINE_COMPATIBLE</v>
      </c>
      <c r="I80" s="6" t="str">
        <f aca="false">H81</f>
        <v>BASELINE_COMPATIBLE</v>
      </c>
      <c r="J80" s="6" t="n">
        <f aca="false">IF(AND(G80=1,G81=1),1,0)</f>
        <v>1</v>
      </c>
    </row>
    <row r="81" customFormat="false" ht="15" hidden="false" customHeight="false" outlineLevel="0" collapsed="false">
      <c r="A81" s="6" t="n">
        <v>0</v>
      </c>
      <c r="B81" s="6" t="n">
        <v>79</v>
      </c>
      <c r="C81" s="6" t="s">
        <v>119</v>
      </c>
      <c r="D81" s="6" t="s">
        <v>120</v>
      </c>
      <c r="E81" s="6" t="s">
        <v>40</v>
      </c>
      <c r="F81" s="6" t="n">
        <v>1</v>
      </c>
      <c r="G81" s="6" t="n">
        <f aca="false">IF(F81=0,0,1)</f>
        <v>1</v>
      </c>
      <c r="H81" s="6" t="str">
        <f aca="false">IF(E81="RECOVERY","RECOVERY_START",E81)</f>
        <v>BASELINE_COMPATIBLE</v>
      </c>
      <c r="I81" s="6" t="str">
        <f aca="false">H82</f>
        <v>BASELINE_COMPATIBLE</v>
      </c>
      <c r="J81" s="6" t="n">
        <f aca="false">IF(AND(G81=1,G82=1),1,0)</f>
        <v>1</v>
      </c>
    </row>
    <row r="82" customFormat="false" ht="15" hidden="false" customHeight="false" outlineLevel="0" collapsed="false">
      <c r="A82" s="6" t="n">
        <v>0</v>
      </c>
      <c r="B82" s="6" t="n">
        <v>80</v>
      </c>
      <c r="C82" s="6" t="s">
        <v>120</v>
      </c>
      <c r="D82" s="6" t="s">
        <v>121</v>
      </c>
      <c r="E82" s="6" t="s">
        <v>40</v>
      </c>
      <c r="F82" s="6" t="n">
        <v>1</v>
      </c>
      <c r="G82" s="6" t="n">
        <f aca="false">IF(F82=0,0,1)</f>
        <v>1</v>
      </c>
      <c r="H82" s="6" t="str">
        <f aca="false">IF(E82="RECOVERY","RECOVERY_START",E82)</f>
        <v>BASELINE_COMPATIBLE</v>
      </c>
      <c r="I82" s="6" t="str">
        <f aca="false">H83</f>
        <v>BASELINE_COMPATIBLE</v>
      </c>
      <c r="J82" s="6" t="n">
        <f aca="false">IF(AND(G82=1,G83=1),1,0)</f>
        <v>1</v>
      </c>
    </row>
    <row r="83" customFormat="false" ht="15" hidden="false" customHeight="false" outlineLevel="0" collapsed="false">
      <c r="A83" s="6" t="n">
        <v>0</v>
      </c>
      <c r="B83" s="6" t="n">
        <v>81</v>
      </c>
      <c r="C83" s="6" t="s">
        <v>121</v>
      </c>
      <c r="D83" s="6" t="s">
        <v>122</v>
      </c>
      <c r="E83" s="6" t="s">
        <v>40</v>
      </c>
      <c r="F83" s="6" t="n">
        <v>1</v>
      </c>
      <c r="G83" s="6" t="n">
        <f aca="false">IF(F83=0,0,1)</f>
        <v>1</v>
      </c>
      <c r="H83" s="6" t="str">
        <f aca="false">IF(E83="RECOVERY","RECOVERY_START",E83)</f>
        <v>BASELINE_COMPATIBLE</v>
      </c>
      <c r="I83" s="6" t="str">
        <f aca="false">H84</f>
        <v>BASELINE_COMPATIBLE</v>
      </c>
      <c r="J83" s="6" t="n">
        <f aca="false">IF(AND(G83=1,G84=1),1,0)</f>
        <v>1</v>
      </c>
    </row>
    <row r="84" customFormat="false" ht="15" hidden="false" customHeight="false" outlineLevel="0" collapsed="false">
      <c r="A84" s="6" t="n">
        <v>0</v>
      </c>
      <c r="B84" s="6" t="n">
        <v>82</v>
      </c>
      <c r="C84" s="6" t="s">
        <v>122</v>
      </c>
      <c r="D84" s="6" t="s">
        <v>123</v>
      </c>
      <c r="E84" s="6" t="s">
        <v>40</v>
      </c>
      <c r="F84" s="6" t="n">
        <v>1</v>
      </c>
      <c r="G84" s="6" t="n">
        <f aca="false">IF(F84=0,0,1)</f>
        <v>1</v>
      </c>
      <c r="H84" s="6" t="str">
        <f aca="false">IF(E84="RECOVERY","RECOVERY_START",E84)</f>
        <v>BASELINE_COMPATIBLE</v>
      </c>
      <c r="I84" s="6" t="str">
        <f aca="false">H85</f>
        <v>BASELINE_COMPATIBLE</v>
      </c>
      <c r="J84" s="6" t="n">
        <f aca="false">IF(AND(G84=1,G85=1),1,0)</f>
        <v>1</v>
      </c>
    </row>
    <row r="85" customFormat="false" ht="15" hidden="false" customHeight="false" outlineLevel="0" collapsed="false">
      <c r="A85" s="6" t="n">
        <v>0</v>
      </c>
      <c r="B85" s="6" t="n">
        <v>83</v>
      </c>
      <c r="C85" s="6" t="s">
        <v>123</v>
      </c>
      <c r="D85" s="6" t="s">
        <v>124</v>
      </c>
      <c r="E85" s="6" t="s">
        <v>40</v>
      </c>
      <c r="F85" s="6" t="n">
        <v>1</v>
      </c>
      <c r="G85" s="6" t="n">
        <f aca="false">IF(F85=0,0,1)</f>
        <v>1</v>
      </c>
      <c r="H85" s="6" t="str">
        <f aca="false">IF(E85="RECOVERY","RECOVERY_START",E85)</f>
        <v>BASELINE_COMPATIBLE</v>
      </c>
      <c r="I85" s="6" t="str">
        <f aca="false">H86</f>
        <v>BASELINE_COMPATIBLE</v>
      </c>
      <c r="J85" s="6" t="n">
        <f aca="false">IF(AND(G85=1,G86=1),1,0)</f>
        <v>1</v>
      </c>
    </row>
    <row r="86" customFormat="false" ht="15" hidden="false" customHeight="false" outlineLevel="0" collapsed="false">
      <c r="A86" s="6" t="n">
        <v>0</v>
      </c>
      <c r="B86" s="6" t="n">
        <v>84</v>
      </c>
      <c r="C86" s="6" t="s">
        <v>124</v>
      </c>
      <c r="D86" s="6" t="s">
        <v>125</v>
      </c>
      <c r="E86" s="6" t="s">
        <v>40</v>
      </c>
      <c r="F86" s="6" t="n">
        <v>1</v>
      </c>
      <c r="G86" s="6" t="n">
        <f aca="false">IF(F86=0,0,1)</f>
        <v>1</v>
      </c>
      <c r="H86" s="6" t="str">
        <f aca="false">IF(E86="RECOVERY","RECOVERY_START",E86)</f>
        <v>BASELINE_COMPATIBLE</v>
      </c>
      <c r="I86" s="6" t="str">
        <f aca="false">H87</f>
        <v>BASELINE_COMPATIBLE</v>
      </c>
      <c r="J86" s="6" t="n">
        <f aca="false">IF(AND(G86=1,G87=1),1,0)</f>
        <v>1</v>
      </c>
    </row>
    <row r="87" customFormat="false" ht="15" hidden="false" customHeight="false" outlineLevel="0" collapsed="false">
      <c r="A87" s="6" t="n">
        <v>0</v>
      </c>
      <c r="B87" s="6" t="n">
        <v>85</v>
      </c>
      <c r="C87" s="6" t="s">
        <v>125</v>
      </c>
      <c r="D87" s="6" t="s">
        <v>126</v>
      </c>
      <c r="E87" s="6" t="s">
        <v>40</v>
      </c>
      <c r="F87" s="6" t="n">
        <v>1</v>
      </c>
      <c r="G87" s="6" t="n">
        <f aca="false">IF(F87=0,0,1)</f>
        <v>1</v>
      </c>
      <c r="H87" s="6" t="str">
        <f aca="false">IF(E87="RECOVERY","RECOVERY_START",E87)</f>
        <v>BASELINE_COMPATIBLE</v>
      </c>
      <c r="I87" s="6" t="str">
        <f aca="false">H88</f>
        <v>BASELINE_COMPATIBLE</v>
      </c>
      <c r="J87" s="6" t="n">
        <f aca="false">IF(AND(G87=1,G88=1),1,0)</f>
        <v>1</v>
      </c>
    </row>
    <row r="88" customFormat="false" ht="15" hidden="false" customHeight="false" outlineLevel="0" collapsed="false">
      <c r="A88" s="6" t="n">
        <v>0</v>
      </c>
      <c r="B88" s="6" t="n">
        <v>86</v>
      </c>
      <c r="C88" s="6" t="s">
        <v>126</v>
      </c>
      <c r="D88" s="6" t="s">
        <v>127</v>
      </c>
      <c r="E88" s="6" t="s">
        <v>40</v>
      </c>
      <c r="F88" s="6" t="n">
        <v>1</v>
      </c>
      <c r="G88" s="6" t="n">
        <f aca="false">IF(F88=0,0,1)</f>
        <v>1</v>
      </c>
      <c r="H88" s="6" t="str">
        <f aca="false">IF(E88="RECOVERY","RECOVERY_START",E88)</f>
        <v>BASELINE_COMPATIBLE</v>
      </c>
      <c r="I88" s="6" t="str">
        <f aca="false">H89</f>
        <v>BASELINE_COMPATIBLE</v>
      </c>
      <c r="J88" s="6" t="n">
        <f aca="false">IF(AND(G88=1,G89=1),1,0)</f>
        <v>1</v>
      </c>
    </row>
    <row r="89" customFormat="false" ht="15" hidden="false" customHeight="false" outlineLevel="0" collapsed="false">
      <c r="A89" s="6" t="n">
        <v>0</v>
      </c>
      <c r="B89" s="6" t="n">
        <v>87</v>
      </c>
      <c r="C89" s="6" t="s">
        <v>127</v>
      </c>
      <c r="D89" s="6" t="s">
        <v>128</v>
      </c>
      <c r="E89" s="6" t="s">
        <v>40</v>
      </c>
      <c r="F89" s="6" t="n">
        <v>1</v>
      </c>
      <c r="G89" s="6" t="n">
        <f aca="false">IF(F89=0,0,1)</f>
        <v>1</v>
      </c>
      <c r="H89" s="6" t="str">
        <f aca="false">IF(E89="RECOVERY","RECOVERY_START",E89)</f>
        <v>BASELINE_COMPATIBLE</v>
      </c>
      <c r="I89" s="6" t="str">
        <f aca="false">H90</f>
        <v>BASELINE_COMPATIBLE</v>
      </c>
      <c r="J89" s="6" t="n">
        <f aca="false">IF(AND(G89=1,G90=1),1,0)</f>
        <v>1</v>
      </c>
    </row>
    <row r="90" customFormat="false" ht="15" hidden="false" customHeight="false" outlineLevel="0" collapsed="false">
      <c r="A90" s="6" t="n">
        <v>0</v>
      </c>
      <c r="B90" s="6" t="n">
        <v>88</v>
      </c>
      <c r="C90" s="6" t="s">
        <v>128</v>
      </c>
      <c r="D90" s="6" t="s">
        <v>129</v>
      </c>
      <c r="E90" s="6" t="s">
        <v>40</v>
      </c>
      <c r="F90" s="6" t="n">
        <v>1</v>
      </c>
      <c r="G90" s="6" t="n">
        <f aca="false">IF(F90=0,0,1)</f>
        <v>1</v>
      </c>
      <c r="H90" s="6" t="str">
        <f aca="false">IF(E90="RECOVERY","RECOVERY_START",E90)</f>
        <v>BASELINE_COMPATIBLE</v>
      </c>
      <c r="I90" s="6" t="str">
        <f aca="false">H91</f>
        <v>BASELINE_COMPATIBLE</v>
      </c>
      <c r="J90" s="6" t="n">
        <f aca="false">IF(AND(G90=1,G91=1),1,0)</f>
        <v>1</v>
      </c>
    </row>
    <row r="91" customFormat="false" ht="15" hidden="false" customHeight="false" outlineLevel="0" collapsed="false">
      <c r="A91" s="6" t="n">
        <v>0</v>
      </c>
      <c r="B91" s="6" t="n">
        <v>89</v>
      </c>
      <c r="C91" s="6" t="s">
        <v>129</v>
      </c>
      <c r="D91" s="6" t="s">
        <v>130</v>
      </c>
      <c r="E91" s="6" t="s">
        <v>40</v>
      </c>
      <c r="F91" s="6" t="n">
        <v>1</v>
      </c>
      <c r="G91" s="6" t="n">
        <f aca="false">IF(F91=0,0,1)</f>
        <v>1</v>
      </c>
      <c r="H91" s="6" t="str">
        <f aca="false">IF(E91="RECOVERY","RECOVERY_START",E91)</f>
        <v>BASELINE_COMPATIBLE</v>
      </c>
      <c r="I91" s="6" t="str">
        <f aca="false">H92</f>
        <v>BASELINE_COMPATIBLE</v>
      </c>
      <c r="J91" s="6" t="n">
        <f aca="false">IF(AND(G91=1,G92=1),1,0)</f>
        <v>1</v>
      </c>
    </row>
    <row r="92" customFormat="false" ht="15" hidden="false" customHeight="false" outlineLevel="0" collapsed="false">
      <c r="A92" s="6" t="n">
        <v>0</v>
      </c>
      <c r="B92" s="6" t="n">
        <v>90</v>
      </c>
      <c r="C92" s="6" t="s">
        <v>130</v>
      </c>
      <c r="D92" s="6" t="s">
        <v>131</v>
      </c>
      <c r="E92" s="6" t="s">
        <v>40</v>
      </c>
      <c r="F92" s="6" t="n">
        <v>1</v>
      </c>
      <c r="G92" s="6" t="n">
        <f aca="false">IF(F92=0,0,1)</f>
        <v>1</v>
      </c>
      <c r="H92" s="6" t="str">
        <f aca="false">IF(E92="RECOVERY","RECOVERY_START",E92)</f>
        <v>BASELINE_COMPATIBLE</v>
      </c>
      <c r="I92" s="6" t="str">
        <f aca="false">H93</f>
        <v>BASELINE_COMPATIBLE</v>
      </c>
      <c r="J92" s="6" t="n">
        <f aca="false">IF(AND(G92=1,G93=1),1,0)</f>
        <v>1</v>
      </c>
    </row>
    <row r="93" customFormat="false" ht="15" hidden="false" customHeight="false" outlineLevel="0" collapsed="false">
      <c r="A93" s="6" t="n">
        <v>0</v>
      </c>
      <c r="B93" s="6" t="n">
        <v>91</v>
      </c>
      <c r="C93" s="6" t="s">
        <v>131</v>
      </c>
      <c r="D93" s="6" t="s">
        <v>132</v>
      </c>
      <c r="E93" s="6" t="s">
        <v>40</v>
      </c>
      <c r="F93" s="6" t="n">
        <v>1</v>
      </c>
      <c r="G93" s="6" t="n">
        <f aca="false">IF(F93=0,0,1)</f>
        <v>1</v>
      </c>
      <c r="H93" s="6" t="str">
        <f aca="false">IF(E93="RECOVERY","RECOVERY_START",E93)</f>
        <v>BASELINE_COMPATIBLE</v>
      </c>
      <c r="I93" s="6" t="str">
        <f aca="false">H94</f>
        <v>BASELINE_COMPATIBLE</v>
      </c>
      <c r="J93" s="6" t="n">
        <f aca="false">IF(AND(G93=1,G94=1),1,0)</f>
        <v>1</v>
      </c>
    </row>
    <row r="94" customFormat="false" ht="15" hidden="false" customHeight="false" outlineLevel="0" collapsed="false">
      <c r="A94" s="6" t="n">
        <v>0</v>
      </c>
      <c r="B94" s="6" t="n">
        <v>92</v>
      </c>
      <c r="C94" s="6" t="s">
        <v>132</v>
      </c>
      <c r="D94" s="6" t="s">
        <v>133</v>
      </c>
      <c r="E94" s="6" t="s">
        <v>40</v>
      </c>
      <c r="F94" s="6" t="n">
        <v>1</v>
      </c>
      <c r="G94" s="6" t="n">
        <f aca="false">IF(F94=0,0,1)</f>
        <v>1</v>
      </c>
      <c r="H94" s="6" t="str">
        <f aca="false">IF(E94="RECOVERY","RECOVERY_START",E94)</f>
        <v>BASELINE_COMPATIBLE</v>
      </c>
      <c r="I94" s="6" t="str">
        <f aca="false">H95</f>
        <v>BASELINE_COMPATIBLE</v>
      </c>
      <c r="J94" s="6" t="n">
        <f aca="false">IF(AND(G94=1,G95=1),1,0)</f>
        <v>1</v>
      </c>
    </row>
    <row r="95" customFormat="false" ht="15" hidden="false" customHeight="false" outlineLevel="0" collapsed="false">
      <c r="A95" s="6" t="n">
        <v>0</v>
      </c>
      <c r="B95" s="6" t="n">
        <v>93</v>
      </c>
      <c r="C95" s="6" t="s">
        <v>133</v>
      </c>
      <c r="D95" s="6" t="s">
        <v>134</v>
      </c>
      <c r="E95" s="6" t="s">
        <v>40</v>
      </c>
      <c r="F95" s="6" t="n">
        <v>1</v>
      </c>
      <c r="G95" s="6" t="n">
        <f aca="false">IF(F95=0,0,1)</f>
        <v>1</v>
      </c>
      <c r="H95" s="6" t="str">
        <f aca="false">IF(E95="RECOVERY","RECOVERY_START",E95)</f>
        <v>BASELINE_COMPATIBLE</v>
      </c>
      <c r="I95" s="6" t="str">
        <f aca="false">H96</f>
        <v>BASELINE_COMPATIBLE</v>
      </c>
      <c r="J95" s="6" t="n">
        <f aca="false">IF(AND(G95=1,G96=1),1,0)</f>
        <v>1</v>
      </c>
    </row>
    <row r="96" customFormat="false" ht="15" hidden="false" customHeight="false" outlineLevel="0" collapsed="false">
      <c r="A96" s="6" t="n">
        <v>0</v>
      </c>
      <c r="B96" s="6" t="n">
        <v>94</v>
      </c>
      <c r="C96" s="6" t="s">
        <v>135</v>
      </c>
      <c r="D96" s="6" t="s">
        <v>136</v>
      </c>
      <c r="E96" s="6" t="s">
        <v>40</v>
      </c>
      <c r="F96" s="6" t="n">
        <v>1</v>
      </c>
      <c r="G96" s="6" t="n">
        <f aca="false">IF(F96=0,0,1)</f>
        <v>1</v>
      </c>
      <c r="H96" s="6" t="str">
        <f aca="false">IF(E96="RECOVERY","RECOVERY_START",E96)</f>
        <v>BASELINE_COMPATIBLE</v>
      </c>
      <c r="I96" s="6" t="str">
        <f aca="false">H97</f>
        <v>BASELINE_COMPATIBLE</v>
      </c>
      <c r="J96" s="6" t="n">
        <f aca="false">IF(AND(G96=1,G97=1),1,0)</f>
        <v>1</v>
      </c>
    </row>
    <row r="97" customFormat="false" ht="15" hidden="false" customHeight="false" outlineLevel="0" collapsed="false">
      <c r="A97" s="6" t="n">
        <v>0</v>
      </c>
      <c r="B97" s="6" t="n">
        <v>95</v>
      </c>
      <c r="C97" s="6" t="s">
        <v>136</v>
      </c>
      <c r="D97" s="6" t="s">
        <v>137</v>
      </c>
      <c r="E97" s="6" t="s">
        <v>40</v>
      </c>
      <c r="F97" s="6" t="n">
        <v>1</v>
      </c>
      <c r="G97" s="6" t="n">
        <f aca="false">IF(F97=0,0,1)</f>
        <v>1</v>
      </c>
      <c r="H97" s="6" t="str">
        <f aca="false">IF(E97="RECOVERY","RECOVERY_START",E97)</f>
        <v>BASELINE_COMPATIBLE</v>
      </c>
      <c r="I97" s="6" t="str">
        <f aca="false">H98</f>
        <v>BASELINE_COMPATIBLE</v>
      </c>
      <c r="J97" s="6" t="n">
        <f aca="false">IF(AND(G97=1,G98=1),1,0)</f>
        <v>1</v>
      </c>
    </row>
    <row r="98" customFormat="false" ht="15" hidden="false" customHeight="false" outlineLevel="0" collapsed="false">
      <c r="A98" s="6" t="n">
        <v>0</v>
      </c>
      <c r="B98" s="6" t="n">
        <v>96</v>
      </c>
      <c r="C98" s="6" t="s">
        <v>137</v>
      </c>
      <c r="D98" s="6" t="s">
        <v>138</v>
      </c>
      <c r="E98" s="6" t="s">
        <v>40</v>
      </c>
      <c r="F98" s="6" t="n">
        <v>1</v>
      </c>
      <c r="G98" s="6" t="n">
        <f aca="false">IF(F98=0,0,1)</f>
        <v>1</v>
      </c>
      <c r="H98" s="6" t="str">
        <f aca="false">IF(E98="RECOVERY","RECOVERY_START",E98)</f>
        <v>BASELINE_COMPATIBLE</v>
      </c>
      <c r="I98" s="6" t="str">
        <f aca="false">H99</f>
        <v>BASELINE_COMPATIBLE</v>
      </c>
      <c r="J98" s="6" t="n">
        <f aca="false">IF(AND(G98=1,G99=1),1,0)</f>
        <v>1</v>
      </c>
    </row>
    <row r="99" customFormat="false" ht="15" hidden="false" customHeight="false" outlineLevel="0" collapsed="false">
      <c r="A99" s="6" t="n">
        <v>0</v>
      </c>
      <c r="B99" s="6" t="n">
        <v>97</v>
      </c>
      <c r="C99" s="6" t="s">
        <v>138</v>
      </c>
      <c r="D99" s="6" t="s">
        <v>139</v>
      </c>
      <c r="E99" s="6" t="s">
        <v>40</v>
      </c>
      <c r="F99" s="6" t="n">
        <v>1</v>
      </c>
      <c r="G99" s="6" t="n">
        <f aca="false">IF(F99=0,0,1)</f>
        <v>1</v>
      </c>
      <c r="H99" s="6" t="str">
        <f aca="false">IF(E99="RECOVERY","RECOVERY_START",E99)</f>
        <v>BASELINE_COMPATIBLE</v>
      </c>
      <c r="I99" s="6" t="str">
        <f aca="false">H100</f>
        <v>BASELINE_COMPATIBLE</v>
      </c>
      <c r="J99" s="6" t="n">
        <f aca="false">IF(AND(G99=1,G100=1),1,0)</f>
        <v>1</v>
      </c>
    </row>
    <row r="100" customFormat="false" ht="15" hidden="false" customHeight="false" outlineLevel="0" collapsed="false">
      <c r="A100" s="6" t="n">
        <v>0</v>
      </c>
      <c r="B100" s="6" t="n">
        <v>98</v>
      </c>
      <c r="C100" s="6" t="s">
        <v>139</v>
      </c>
      <c r="D100" s="6" t="s">
        <v>140</v>
      </c>
      <c r="E100" s="6" t="s">
        <v>40</v>
      </c>
      <c r="F100" s="6" t="n">
        <v>1</v>
      </c>
      <c r="G100" s="6" t="n">
        <f aca="false">IF(F100=0,0,1)</f>
        <v>1</v>
      </c>
      <c r="H100" s="6" t="str">
        <f aca="false">IF(E100="RECOVERY","RECOVERY_START",E100)</f>
        <v>BASELINE_COMPATIBLE</v>
      </c>
      <c r="I100" s="6" t="str">
        <f aca="false">H101</f>
        <v>BASELINE_COMPATIBLE</v>
      </c>
      <c r="J100" s="6" t="n">
        <f aca="false">IF(AND(G100=1,G101=1),1,0)</f>
        <v>1</v>
      </c>
    </row>
    <row r="101" customFormat="false" ht="15" hidden="false" customHeight="false" outlineLevel="0" collapsed="false">
      <c r="A101" s="6" t="n">
        <v>0</v>
      </c>
      <c r="B101" s="6" t="n">
        <v>99</v>
      </c>
      <c r="C101" s="6" t="s">
        <v>140</v>
      </c>
      <c r="D101" s="6" t="s">
        <v>141</v>
      </c>
      <c r="E101" s="6" t="s">
        <v>40</v>
      </c>
      <c r="F101" s="6" t="n">
        <v>1</v>
      </c>
      <c r="G101" s="6" t="n">
        <f aca="false">IF(F101=0,0,1)</f>
        <v>1</v>
      </c>
      <c r="H101" s="6" t="str">
        <f aca="false">IF(E101="RECOVERY","RECOVERY_START",E101)</f>
        <v>BASELINE_COMPATIBLE</v>
      </c>
      <c r="I101" s="6" t="str">
        <f aca="false">H102</f>
        <v>BASELINE_COMPATIBLE</v>
      </c>
      <c r="J101" s="6" t="n">
        <f aca="false">IF(AND(G101=1,G102=1),1,0)</f>
        <v>1</v>
      </c>
    </row>
    <row r="102" customFormat="false" ht="15" hidden="false" customHeight="false" outlineLevel="0" collapsed="false">
      <c r="A102" s="6" t="n">
        <v>0</v>
      </c>
      <c r="B102" s="6" t="n">
        <v>100</v>
      </c>
      <c r="C102" s="6" t="s">
        <v>141</v>
      </c>
      <c r="D102" s="6" t="s">
        <v>142</v>
      </c>
      <c r="E102" s="6" t="s">
        <v>40</v>
      </c>
      <c r="F102" s="6" t="n">
        <v>1</v>
      </c>
      <c r="G102" s="6" t="n">
        <f aca="false">IF(F102=0,0,1)</f>
        <v>1</v>
      </c>
      <c r="H102" s="6" t="str">
        <f aca="false">IF(E102="RECOVERY","RECOVERY_START",E102)</f>
        <v>BASELINE_COMPATIBLE</v>
      </c>
      <c r="I102" s="6" t="str">
        <f aca="false">H103</f>
        <v>BASELINE_COMPATIBLE</v>
      </c>
      <c r="J102" s="6" t="n">
        <f aca="false">IF(AND(G102=1,G103=1),1,0)</f>
        <v>1</v>
      </c>
    </row>
    <row r="103" customFormat="false" ht="15" hidden="false" customHeight="false" outlineLevel="0" collapsed="false">
      <c r="A103" s="6" t="n">
        <v>0</v>
      </c>
      <c r="B103" s="6" t="n">
        <v>101</v>
      </c>
      <c r="C103" s="6" t="s">
        <v>142</v>
      </c>
      <c r="D103" s="6" t="s">
        <v>143</v>
      </c>
      <c r="E103" s="6" t="s">
        <v>40</v>
      </c>
      <c r="F103" s="6" t="n">
        <v>1</v>
      </c>
      <c r="G103" s="6" t="n">
        <f aca="false">IF(F103=0,0,1)</f>
        <v>1</v>
      </c>
      <c r="H103" s="6" t="str">
        <f aca="false">IF(E103="RECOVERY","RECOVERY_START",E103)</f>
        <v>BASELINE_COMPATIBLE</v>
      </c>
      <c r="I103" s="6" t="str">
        <f aca="false">H104</f>
        <v>BASELINE_COMPATIBLE</v>
      </c>
      <c r="J103" s="6" t="n">
        <f aca="false">IF(AND(G103=1,G104=1),1,0)</f>
        <v>1</v>
      </c>
    </row>
    <row r="104" customFormat="false" ht="15" hidden="false" customHeight="false" outlineLevel="0" collapsed="false">
      <c r="A104" s="6" t="n">
        <v>0</v>
      </c>
      <c r="B104" s="6" t="n">
        <v>102</v>
      </c>
      <c r="C104" s="6" t="s">
        <v>143</v>
      </c>
      <c r="D104" s="6" t="s">
        <v>144</v>
      </c>
      <c r="E104" s="6" t="s">
        <v>40</v>
      </c>
      <c r="F104" s="6" t="n">
        <v>1</v>
      </c>
      <c r="G104" s="6" t="n">
        <f aca="false">IF(F104=0,0,1)</f>
        <v>1</v>
      </c>
      <c r="H104" s="6" t="str">
        <f aca="false">IF(E104="RECOVERY","RECOVERY_START",E104)</f>
        <v>BASELINE_COMPATIBLE</v>
      </c>
      <c r="I104" s="6" t="str">
        <f aca="false">H105</f>
        <v>BASELINE_COMPATIBLE</v>
      </c>
      <c r="J104" s="6" t="n">
        <f aca="false">IF(AND(G104=1,G105=1),1,0)</f>
        <v>1</v>
      </c>
    </row>
    <row r="105" customFormat="false" ht="15" hidden="false" customHeight="false" outlineLevel="0" collapsed="false">
      <c r="A105" s="6" t="n">
        <v>0</v>
      </c>
      <c r="B105" s="6" t="n">
        <v>103</v>
      </c>
      <c r="C105" s="6" t="s">
        <v>144</v>
      </c>
      <c r="D105" s="6" t="s">
        <v>145</v>
      </c>
      <c r="E105" s="6" t="s">
        <v>40</v>
      </c>
      <c r="F105" s="6" t="n">
        <v>1</v>
      </c>
      <c r="G105" s="6" t="n">
        <f aca="false">IF(F105=0,0,1)</f>
        <v>1</v>
      </c>
      <c r="H105" s="6" t="str">
        <f aca="false">IF(E105="RECOVERY","RECOVERY_START",E105)</f>
        <v>BASELINE_COMPATIBLE</v>
      </c>
      <c r="I105" s="6" t="str">
        <f aca="false">H106</f>
        <v>BASELINE_COMPATIBLE</v>
      </c>
      <c r="J105" s="6" t="n">
        <f aca="false">IF(AND(G105=1,G106=1),1,0)</f>
        <v>1</v>
      </c>
    </row>
    <row r="106" customFormat="false" ht="15" hidden="false" customHeight="false" outlineLevel="0" collapsed="false">
      <c r="A106" s="6" t="n">
        <v>0</v>
      </c>
      <c r="B106" s="6" t="n">
        <v>104</v>
      </c>
      <c r="C106" s="6" t="s">
        <v>145</v>
      </c>
      <c r="D106" s="6" t="s">
        <v>146</v>
      </c>
      <c r="E106" s="6" t="s">
        <v>40</v>
      </c>
      <c r="F106" s="6" t="n">
        <v>1</v>
      </c>
      <c r="G106" s="6" t="n">
        <f aca="false">IF(F106=0,0,1)</f>
        <v>1</v>
      </c>
      <c r="H106" s="6" t="str">
        <f aca="false">IF(E106="RECOVERY","RECOVERY_START",E106)</f>
        <v>BASELINE_COMPATIBLE</v>
      </c>
      <c r="I106" s="6" t="str">
        <f aca="false">H107</f>
        <v>BASELINE_COMPATIBLE</v>
      </c>
      <c r="J106" s="6" t="n">
        <f aca="false">IF(AND(G106=1,G107=1),1,0)</f>
        <v>1</v>
      </c>
    </row>
    <row r="107" customFormat="false" ht="15" hidden="false" customHeight="false" outlineLevel="0" collapsed="false">
      <c r="A107" s="6" t="n">
        <v>0</v>
      </c>
      <c r="B107" s="6" t="n">
        <v>105</v>
      </c>
      <c r="C107" s="6" t="s">
        <v>146</v>
      </c>
      <c r="D107" s="6" t="s">
        <v>147</v>
      </c>
      <c r="E107" s="6" t="s">
        <v>40</v>
      </c>
      <c r="F107" s="6" t="n">
        <v>1</v>
      </c>
      <c r="G107" s="6" t="n">
        <f aca="false">IF(F107=0,0,1)</f>
        <v>1</v>
      </c>
      <c r="H107" s="6" t="str">
        <f aca="false">IF(E107="RECOVERY","RECOVERY_START",E107)</f>
        <v>BASELINE_COMPATIBLE</v>
      </c>
      <c r="I107" s="6" t="str">
        <f aca="false">H108</f>
        <v>BASELINE_COMPATIBLE</v>
      </c>
      <c r="J107" s="6" t="n">
        <f aca="false">IF(AND(G107=1,G108=1),1,0)</f>
        <v>1</v>
      </c>
    </row>
    <row r="108" customFormat="false" ht="15" hidden="false" customHeight="false" outlineLevel="0" collapsed="false">
      <c r="A108" s="6" t="n">
        <v>0</v>
      </c>
      <c r="B108" s="6" t="n">
        <v>106</v>
      </c>
      <c r="C108" s="6" t="s">
        <v>147</v>
      </c>
      <c r="D108" s="6" t="s">
        <v>148</v>
      </c>
      <c r="E108" s="6" t="s">
        <v>40</v>
      </c>
      <c r="F108" s="6" t="n">
        <v>1</v>
      </c>
      <c r="G108" s="6" t="n">
        <f aca="false">IF(F108=0,0,1)</f>
        <v>1</v>
      </c>
      <c r="H108" s="6" t="str">
        <f aca="false">IF(E108="RECOVERY","RECOVERY_START",E108)</f>
        <v>BASELINE_COMPATIBLE</v>
      </c>
      <c r="I108" s="6" t="str">
        <f aca="false">H109</f>
        <v>BASELINE_COMPATIBLE</v>
      </c>
      <c r="J108" s="6" t="n">
        <f aca="false">IF(AND(G108=1,G109=1),1,0)</f>
        <v>1</v>
      </c>
    </row>
    <row r="109" customFormat="false" ht="15" hidden="false" customHeight="false" outlineLevel="0" collapsed="false">
      <c r="A109" s="6" t="n">
        <v>0</v>
      </c>
      <c r="B109" s="6" t="n">
        <v>107</v>
      </c>
      <c r="C109" s="6" t="s">
        <v>148</v>
      </c>
      <c r="D109" s="6" t="s">
        <v>149</v>
      </c>
      <c r="E109" s="6" t="s">
        <v>40</v>
      </c>
      <c r="F109" s="6" t="n">
        <v>1</v>
      </c>
      <c r="G109" s="6" t="n">
        <f aca="false">IF(F109=0,0,1)</f>
        <v>1</v>
      </c>
      <c r="H109" s="6" t="str">
        <f aca="false">IF(E109="RECOVERY","RECOVERY_START",E109)</f>
        <v>BASELINE_COMPATIBLE</v>
      </c>
      <c r="I109" s="6" t="str">
        <f aca="false">H110</f>
        <v>BASELINE_COMPATIBLE</v>
      </c>
      <c r="J109" s="6" t="n">
        <f aca="false">IF(AND(G109=1,G110=1),1,0)</f>
        <v>1</v>
      </c>
    </row>
    <row r="110" customFormat="false" ht="15" hidden="false" customHeight="false" outlineLevel="0" collapsed="false">
      <c r="A110" s="6" t="n">
        <v>0</v>
      </c>
      <c r="B110" s="6" t="n">
        <v>108</v>
      </c>
      <c r="C110" s="6" t="s">
        <v>149</v>
      </c>
      <c r="D110" s="6" t="s">
        <v>150</v>
      </c>
      <c r="E110" s="6" t="s">
        <v>40</v>
      </c>
      <c r="F110" s="6" t="n">
        <v>1</v>
      </c>
      <c r="G110" s="6" t="n">
        <f aca="false">IF(F110=0,0,1)</f>
        <v>1</v>
      </c>
      <c r="H110" s="6" t="str">
        <f aca="false">IF(E110="RECOVERY","RECOVERY_START",E110)</f>
        <v>BASELINE_COMPATIBLE</v>
      </c>
      <c r="I110" s="6" t="str">
        <f aca="false">H111</f>
        <v>BASELINE_COMPATIBLE</v>
      </c>
      <c r="J110" s="6" t="n">
        <f aca="false">IF(AND(G110=1,G111=1),1,0)</f>
        <v>1</v>
      </c>
    </row>
    <row r="111" customFormat="false" ht="15" hidden="false" customHeight="false" outlineLevel="0" collapsed="false">
      <c r="A111" s="6" t="n">
        <v>0</v>
      </c>
      <c r="B111" s="6" t="n">
        <v>109</v>
      </c>
      <c r="C111" s="6" t="s">
        <v>150</v>
      </c>
      <c r="D111" s="6" t="s">
        <v>151</v>
      </c>
      <c r="E111" s="6" t="s">
        <v>40</v>
      </c>
      <c r="F111" s="6" t="n">
        <v>1</v>
      </c>
      <c r="G111" s="6" t="n">
        <f aca="false">IF(F111=0,0,1)</f>
        <v>1</v>
      </c>
      <c r="H111" s="6" t="str">
        <f aca="false">IF(E111="RECOVERY","RECOVERY_START",E111)</f>
        <v>BASELINE_COMPATIBLE</v>
      </c>
      <c r="I111" s="6" t="str">
        <f aca="false">H112</f>
        <v>BASELINE_COMPATIBLE</v>
      </c>
      <c r="J111" s="6" t="n">
        <f aca="false">IF(AND(G111=1,G112=1),1,0)</f>
        <v>1</v>
      </c>
    </row>
    <row r="112" customFormat="false" ht="15" hidden="false" customHeight="false" outlineLevel="0" collapsed="false">
      <c r="A112" s="6" t="n">
        <v>0</v>
      </c>
      <c r="B112" s="6" t="n">
        <v>110</v>
      </c>
      <c r="C112" s="6" t="s">
        <v>151</v>
      </c>
      <c r="D112" s="6" t="s">
        <v>152</v>
      </c>
      <c r="E112" s="6" t="s">
        <v>40</v>
      </c>
      <c r="F112" s="6" t="n">
        <v>1</v>
      </c>
      <c r="G112" s="6" t="n">
        <f aca="false">IF(F112=0,0,1)</f>
        <v>1</v>
      </c>
      <c r="H112" s="6" t="str">
        <f aca="false">IF(E112="RECOVERY","RECOVERY_START",E112)</f>
        <v>BASELINE_COMPATIBLE</v>
      </c>
      <c r="I112" s="6" t="str">
        <f aca="false">H113</f>
        <v>BASELINE_COMPATIBLE</v>
      </c>
      <c r="J112" s="6" t="n">
        <f aca="false">IF(AND(G112=1,G113=1),1,0)</f>
        <v>1</v>
      </c>
    </row>
    <row r="113" customFormat="false" ht="15" hidden="false" customHeight="false" outlineLevel="0" collapsed="false">
      <c r="A113" s="6" t="n">
        <v>0</v>
      </c>
      <c r="B113" s="6" t="n">
        <v>111</v>
      </c>
      <c r="C113" s="6" t="s">
        <v>152</v>
      </c>
      <c r="D113" s="6" t="s">
        <v>153</v>
      </c>
      <c r="E113" s="6" t="s">
        <v>40</v>
      </c>
      <c r="F113" s="6" t="n">
        <v>1</v>
      </c>
      <c r="G113" s="6" t="n">
        <f aca="false">IF(F113=0,0,1)</f>
        <v>1</v>
      </c>
      <c r="H113" s="6" t="str">
        <f aca="false">IF(E113="RECOVERY","RECOVERY_START",E113)</f>
        <v>BASELINE_COMPATIBLE</v>
      </c>
      <c r="I113" s="6" t="str">
        <f aca="false">H114</f>
        <v>BASELINE_COMPATIBLE</v>
      </c>
      <c r="J113" s="6" t="n">
        <f aca="false">IF(AND(G113=1,G114=1),1,0)</f>
        <v>1</v>
      </c>
    </row>
    <row r="114" customFormat="false" ht="15" hidden="false" customHeight="false" outlineLevel="0" collapsed="false">
      <c r="A114" s="6" t="n">
        <v>0</v>
      </c>
      <c r="B114" s="6" t="n">
        <v>112</v>
      </c>
      <c r="C114" s="6" t="s">
        <v>153</v>
      </c>
      <c r="D114" s="6" t="s">
        <v>154</v>
      </c>
      <c r="E114" s="6" t="s">
        <v>40</v>
      </c>
      <c r="F114" s="6" t="n">
        <v>1</v>
      </c>
      <c r="G114" s="6" t="n">
        <f aca="false">IF(F114=0,0,1)</f>
        <v>1</v>
      </c>
      <c r="H114" s="6" t="str">
        <f aca="false">IF(E114="RECOVERY","RECOVERY_START",E114)</f>
        <v>BASELINE_COMPATIBLE</v>
      </c>
      <c r="I114" s="6" t="str">
        <f aca="false">H115</f>
        <v>BASELINE_COMPATIBLE</v>
      </c>
      <c r="J114" s="6" t="n">
        <f aca="false">IF(AND(G114=1,G115=1),1,0)</f>
        <v>1</v>
      </c>
    </row>
    <row r="115" customFormat="false" ht="15" hidden="false" customHeight="false" outlineLevel="0" collapsed="false">
      <c r="A115" s="6" t="n">
        <v>0</v>
      </c>
      <c r="B115" s="6" t="n">
        <v>113</v>
      </c>
      <c r="C115" s="6" t="s">
        <v>154</v>
      </c>
      <c r="D115" s="6" t="s">
        <v>155</v>
      </c>
      <c r="E115" s="6" t="s">
        <v>40</v>
      </c>
      <c r="F115" s="6" t="n">
        <v>1</v>
      </c>
      <c r="G115" s="6" t="n">
        <f aca="false">IF(F115=0,0,1)</f>
        <v>1</v>
      </c>
      <c r="H115" s="6" t="str">
        <f aca="false">IF(E115="RECOVERY","RECOVERY_START",E115)</f>
        <v>BASELINE_COMPATIBLE</v>
      </c>
      <c r="I115" s="6" t="str">
        <f aca="false">H116</f>
        <v>BASELINE_COMPATIBLE</v>
      </c>
      <c r="J115" s="6" t="n">
        <f aca="false">IF(AND(G115=1,G116=1),1,0)</f>
        <v>1</v>
      </c>
    </row>
    <row r="116" customFormat="false" ht="15" hidden="false" customHeight="false" outlineLevel="0" collapsed="false">
      <c r="A116" s="6" t="n">
        <v>0</v>
      </c>
      <c r="B116" s="6" t="n">
        <v>114</v>
      </c>
      <c r="C116" s="6" t="s">
        <v>155</v>
      </c>
      <c r="D116" s="6" t="s">
        <v>156</v>
      </c>
      <c r="E116" s="6" t="s">
        <v>40</v>
      </c>
      <c r="F116" s="6" t="n">
        <v>1</v>
      </c>
      <c r="G116" s="6" t="n">
        <f aca="false">IF(F116=0,0,1)</f>
        <v>1</v>
      </c>
      <c r="H116" s="6" t="str">
        <f aca="false">IF(E116="RECOVERY","RECOVERY_START",E116)</f>
        <v>BASELINE_COMPATIBLE</v>
      </c>
      <c r="I116" s="6" t="str">
        <f aca="false">H117</f>
        <v>BASELINE_COMPATIBLE</v>
      </c>
      <c r="J116" s="6" t="n">
        <f aca="false">IF(AND(G116=1,G117=1),1,0)</f>
        <v>1</v>
      </c>
    </row>
    <row r="117" customFormat="false" ht="15" hidden="false" customHeight="false" outlineLevel="0" collapsed="false">
      <c r="A117" s="6" t="n">
        <v>0</v>
      </c>
      <c r="B117" s="6" t="n">
        <v>115</v>
      </c>
      <c r="C117" s="6" t="s">
        <v>156</v>
      </c>
      <c r="D117" s="6" t="s">
        <v>157</v>
      </c>
      <c r="E117" s="6" t="s">
        <v>40</v>
      </c>
      <c r="F117" s="6" t="n">
        <v>1</v>
      </c>
      <c r="G117" s="6" t="n">
        <f aca="false">IF(F117=0,0,1)</f>
        <v>1</v>
      </c>
      <c r="H117" s="6" t="str">
        <f aca="false">IF(E117="RECOVERY","RECOVERY_START",E117)</f>
        <v>BASELINE_COMPATIBLE</v>
      </c>
      <c r="I117" s="6" t="str">
        <f aca="false">H118</f>
        <v>BASELINE_COMPATIBLE</v>
      </c>
      <c r="J117" s="6" t="n">
        <f aca="false">IF(AND(G117=1,G118=1),1,0)</f>
        <v>1</v>
      </c>
    </row>
    <row r="118" customFormat="false" ht="15" hidden="false" customHeight="false" outlineLevel="0" collapsed="false">
      <c r="A118" s="6" t="n">
        <v>0</v>
      </c>
      <c r="B118" s="6" t="n">
        <v>116</v>
      </c>
      <c r="C118" s="6" t="s">
        <v>157</v>
      </c>
      <c r="D118" s="6" t="s">
        <v>158</v>
      </c>
      <c r="E118" s="6" t="s">
        <v>40</v>
      </c>
      <c r="F118" s="6" t="n">
        <v>1</v>
      </c>
      <c r="G118" s="6" t="n">
        <f aca="false">IF(F118=0,0,1)</f>
        <v>1</v>
      </c>
      <c r="H118" s="6" t="str">
        <f aca="false">IF(E118="RECOVERY","RECOVERY_START",E118)</f>
        <v>BASELINE_COMPATIBLE</v>
      </c>
      <c r="I118" s="6" t="str">
        <f aca="false">H119</f>
        <v>BASELINE_COMPATIBLE</v>
      </c>
      <c r="J118" s="6" t="n">
        <f aca="false">IF(AND(G118=1,G119=1),1,0)</f>
        <v>1</v>
      </c>
    </row>
    <row r="119" customFormat="false" ht="15" hidden="false" customHeight="false" outlineLevel="0" collapsed="false">
      <c r="A119" s="6" t="n">
        <v>0</v>
      </c>
      <c r="B119" s="6" t="n">
        <v>117</v>
      </c>
      <c r="C119" s="6" t="s">
        <v>158</v>
      </c>
      <c r="D119" s="6" t="s">
        <v>159</v>
      </c>
      <c r="E119" s="6" t="s">
        <v>40</v>
      </c>
      <c r="F119" s="6" t="n">
        <v>1</v>
      </c>
      <c r="G119" s="6" t="n">
        <f aca="false">IF(F119=0,0,1)</f>
        <v>1</v>
      </c>
      <c r="H119" s="6" t="str">
        <f aca="false">IF(E119="RECOVERY","RECOVERY_START",E119)</f>
        <v>BASELINE_COMPATIBLE</v>
      </c>
      <c r="I119" s="6" t="str">
        <f aca="false">H120</f>
        <v>BASELINE_COMPATIBLE</v>
      </c>
      <c r="J119" s="6" t="n">
        <f aca="false">IF(AND(G119=1,G120=1),1,0)</f>
        <v>1</v>
      </c>
    </row>
    <row r="120" customFormat="false" ht="15" hidden="false" customHeight="false" outlineLevel="0" collapsed="false">
      <c r="A120" s="6" t="n">
        <v>0</v>
      </c>
      <c r="B120" s="6" t="n">
        <v>118</v>
      </c>
      <c r="C120" s="6" t="s">
        <v>159</v>
      </c>
      <c r="D120" s="6" t="s">
        <v>160</v>
      </c>
      <c r="E120" s="6" t="s">
        <v>40</v>
      </c>
      <c r="F120" s="6" t="n">
        <v>1</v>
      </c>
      <c r="G120" s="6" t="n">
        <f aca="false">IF(F120=0,0,1)</f>
        <v>1</v>
      </c>
      <c r="H120" s="6" t="str">
        <f aca="false">IF(E120="RECOVERY","RECOVERY_START",E120)</f>
        <v>BASELINE_COMPATIBLE</v>
      </c>
      <c r="I120" s="6" t="str">
        <f aca="false">H121</f>
        <v>BASELINE_COMPATIBLE</v>
      </c>
      <c r="J120" s="6" t="n">
        <f aca="false">IF(AND(G120=1,G121=1),1,0)</f>
        <v>0</v>
      </c>
    </row>
    <row r="121" customFormat="false" ht="15" hidden="false" customHeight="false" outlineLevel="0" collapsed="false">
      <c r="A121" s="6" t="n">
        <v>0</v>
      </c>
      <c r="B121" s="6" t="n">
        <v>119</v>
      </c>
      <c r="C121" s="6" t="s">
        <v>160</v>
      </c>
      <c r="D121" s="6" t="s">
        <v>161</v>
      </c>
      <c r="E121" s="6" t="s">
        <v>40</v>
      </c>
      <c r="F121" s="6" t="n">
        <v>0</v>
      </c>
      <c r="G121" s="6" t="n">
        <f aca="false">IF(F121=0,0,1)</f>
        <v>0</v>
      </c>
      <c r="H121" s="6" t="str">
        <f aca="false">IF(E121="RECOVERY","RECOVERY_START",E121)</f>
        <v>BASELINE_COMPATIBLE</v>
      </c>
      <c r="I121" s="6" t="str">
        <f aca="false">H122</f>
        <v>BASELINE_COMPATIBLE</v>
      </c>
      <c r="J121" s="6" t="n">
        <f aca="false">IF(AND(G121=1,G122=1),1,0)</f>
        <v>0</v>
      </c>
    </row>
    <row r="122" customFormat="false" ht="15" hidden="false" customHeight="false" outlineLevel="0" collapsed="false">
      <c r="A122" s="6" t="n">
        <v>0</v>
      </c>
      <c r="B122" s="6" t="n">
        <v>120</v>
      </c>
      <c r="C122" s="6" t="s">
        <v>161</v>
      </c>
      <c r="D122" s="6" t="s">
        <v>162</v>
      </c>
      <c r="E122" s="6" t="s">
        <v>40</v>
      </c>
      <c r="F122" s="6" t="n">
        <v>1</v>
      </c>
      <c r="G122" s="6" t="n">
        <f aca="false">IF(F122=0,0,1)</f>
        <v>1</v>
      </c>
      <c r="H122" s="6" t="str">
        <f aca="false">IF(E122="RECOVERY","RECOVERY_START",E122)</f>
        <v>BASELINE_COMPATIBLE</v>
      </c>
      <c r="I122" s="6" t="str">
        <f aca="false">H123</f>
        <v>BASELINE_COMPATIBLE</v>
      </c>
      <c r="J122" s="6" t="n">
        <f aca="false">IF(AND(G122=1,G123=1),1,0)</f>
        <v>1</v>
      </c>
    </row>
    <row r="123" customFormat="false" ht="15" hidden="false" customHeight="false" outlineLevel="0" collapsed="false">
      <c r="A123" s="6" t="n">
        <v>0</v>
      </c>
      <c r="B123" s="6" t="n">
        <v>121</v>
      </c>
      <c r="C123" s="6" t="s">
        <v>162</v>
      </c>
      <c r="D123" s="6" t="s">
        <v>163</v>
      </c>
      <c r="E123" s="6" t="s">
        <v>40</v>
      </c>
      <c r="F123" s="6" t="n">
        <v>1</v>
      </c>
      <c r="G123" s="6" t="n">
        <f aca="false">IF(F123=0,0,1)</f>
        <v>1</v>
      </c>
      <c r="H123" s="6" t="str">
        <f aca="false">IF(E123="RECOVERY","RECOVERY_START",E123)</f>
        <v>BASELINE_COMPATIBLE</v>
      </c>
      <c r="I123" s="6" t="str">
        <f aca="false">H124</f>
        <v>BASELINE_COMPATIBLE</v>
      </c>
      <c r="J123" s="6" t="n">
        <f aca="false">IF(AND(G123=1,G124=1),1,0)</f>
        <v>1</v>
      </c>
    </row>
    <row r="124" customFormat="false" ht="15" hidden="false" customHeight="false" outlineLevel="0" collapsed="false">
      <c r="A124" s="6" t="n">
        <v>0</v>
      </c>
      <c r="B124" s="6" t="n">
        <v>122</v>
      </c>
      <c r="C124" s="6" t="s">
        <v>163</v>
      </c>
      <c r="D124" s="6" t="s">
        <v>164</v>
      </c>
      <c r="E124" s="6" t="s">
        <v>40</v>
      </c>
      <c r="F124" s="6" t="n">
        <v>1</v>
      </c>
      <c r="G124" s="6" t="n">
        <f aca="false">IF(F124=0,0,1)</f>
        <v>1</v>
      </c>
      <c r="H124" s="6" t="str">
        <f aca="false">IF(E124="RECOVERY","RECOVERY_START",E124)</f>
        <v>BASELINE_COMPATIBLE</v>
      </c>
      <c r="I124" s="6" t="str">
        <f aca="false">H125</f>
        <v>BASELINE_COMPATIBLE</v>
      </c>
      <c r="J124" s="6" t="n">
        <f aca="false">IF(AND(G124=1,G125=1),1,0)</f>
        <v>1</v>
      </c>
    </row>
    <row r="125" customFormat="false" ht="15" hidden="false" customHeight="false" outlineLevel="0" collapsed="false">
      <c r="A125" s="6" t="n">
        <v>0</v>
      </c>
      <c r="B125" s="6" t="n">
        <v>123</v>
      </c>
      <c r="C125" s="6" t="s">
        <v>164</v>
      </c>
      <c r="D125" s="6" t="s">
        <v>165</v>
      </c>
      <c r="E125" s="6" t="s">
        <v>40</v>
      </c>
      <c r="F125" s="6" t="n">
        <v>1</v>
      </c>
      <c r="G125" s="6" t="n">
        <f aca="false">IF(F125=0,0,1)</f>
        <v>1</v>
      </c>
      <c r="H125" s="6" t="str">
        <f aca="false">IF(E125="RECOVERY","RECOVERY_START",E125)</f>
        <v>BASELINE_COMPATIBLE</v>
      </c>
      <c r="I125" s="6" t="str">
        <f aca="false">H126</f>
        <v>BASELINE_COMPATIBLE</v>
      </c>
      <c r="J125" s="6" t="n">
        <f aca="false">IF(AND(G125=1,G126=1),1,0)</f>
        <v>1</v>
      </c>
    </row>
    <row r="126" customFormat="false" ht="15" hidden="false" customHeight="false" outlineLevel="0" collapsed="false">
      <c r="A126" s="6" t="n">
        <v>0</v>
      </c>
      <c r="B126" s="6" t="n">
        <v>124</v>
      </c>
      <c r="C126" s="6" t="s">
        <v>165</v>
      </c>
      <c r="D126" s="6" t="s">
        <v>166</v>
      </c>
      <c r="E126" s="6" t="s">
        <v>40</v>
      </c>
      <c r="F126" s="6" t="n">
        <v>1</v>
      </c>
      <c r="G126" s="6" t="n">
        <f aca="false">IF(F126=0,0,1)</f>
        <v>1</v>
      </c>
      <c r="H126" s="6" t="str">
        <f aca="false">IF(E126="RECOVERY","RECOVERY_START",E126)</f>
        <v>BASELINE_COMPATIBLE</v>
      </c>
      <c r="I126" s="6" t="str">
        <f aca="false">H127</f>
        <v>BASELINE_COMPATIBLE</v>
      </c>
      <c r="J126" s="6" t="n">
        <f aca="false">IF(AND(G126=1,G127=1),1,0)</f>
        <v>1</v>
      </c>
    </row>
    <row r="127" customFormat="false" ht="15" hidden="false" customHeight="false" outlineLevel="0" collapsed="false">
      <c r="A127" s="6" t="n">
        <v>0</v>
      </c>
      <c r="B127" s="6" t="n">
        <v>125</v>
      </c>
      <c r="C127" s="6" t="s">
        <v>166</v>
      </c>
      <c r="D127" s="6" t="s">
        <v>167</v>
      </c>
      <c r="E127" s="6" t="s">
        <v>40</v>
      </c>
      <c r="F127" s="6" t="n">
        <v>1</v>
      </c>
      <c r="G127" s="6" t="n">
        <f aca="false">IF(F127=0,0,1)</f>
        <v>1</v>
      </c>
      <c r="H127" s="6" t="str">
        <f aca="false">IF(E127="RECOVERY","RECOVERY_START",E127)</f>
        <v>BASELINE_COMPATIBLE</v>
      </c>
      <c r="I127" s="6" t="str">
        <f aca="false">H128</f>
        <v>BASELINE_COMPATIBLE</v>
      </c>
      <c r="J127" s="6" t="n">
        <f aca="false">IF(AND(G127=1,G128=1),1,0)</f>
        <v>1</v>
      </c>
    </row>
    <row r="128" customFormat="false" ht="15" hidden="false" customHeight="false" outlineLevel="0" collapsed="false">
      <c r="A128" s="6" t="n">
        <v>0</v>
      </c>
      <c r="B128" s="6" t="n">
        <v>126</v>
      </c>
      <c r="C128" s="6" t="s">
        <v>167</v>
      </c>
      <c r="D128" s="6" t="s">
        <v>168</v>
      </c>
      <c r="E128" s="6" t="s">
        <v>40</v>
      </c>
      <c r="F128" s="6" t="n">
        <v>1</v>
      </c>
      <c r="G128" s="6" t="n">
        <f aca="false">IF(F128=0,0,1)</f>
        <v>1</v>
      </c>
      <c r="H128" s="6" t="str">
        <f aca="false">IF(E128="RECOVERY","RECOVERY_START",E128)</f>
        <v>BASELINE_COMPATIBLE</v>
      </c>
      <c r="I128" s="6" t="str">
        <f aca="false">H129</f>
        <v>BASELINE_COMPATIBLE</v>
      </c>
      <c r="J128" s="6" t="n">
        <f aca="false">IF(AND(G128=1,G129=1),1,0)</f>
        <v>1</v>
      </c>
    </row>
    <row r="129" customFormat="false" ht="15" hidden="false" customHeight="false" outlineLevel="0" collapsed="false">
      <c r="A129" s="6" t="n">
        <v>0</v>
      </c>
      <c r="B129" s="6" t="n">
        <v>127</v>
      </c>
      <c r="C129" s="6" t="s">
        <v>168</v>
      </c>
      <c r="D129" s="6" t="s">
        <v>169</v>
      </c>
      <c r="E129" s="6" t="s">
        <v>40</v>
      </c>
      <c r="F129" s="6" t="n">
        <v>1</v>
      </c>
      <c r="G129" s="6" t="n">
        <f aca="false">IF(F129=0,0,1)</f>
        <v>1</v>
      </c>
      <c r="H129" s="6" t="str">
        <f aca="false">IF(E129="RECOVERY","RECOVERY_START",E129)</f>
        <v>BASELINE_COMPATIBLE</v>
      </c>
      <c r="I129" s="6" t="str">
        <f aca="false">H130</f>
        <v>BASELINE_COMPATIBLE</v>
      </c>
      <c r="J129" s="6" t="n">
        <f aca="false">IF(AND(G129=1,G130=1),1,0)</f>
        <v>1</v>
      </c>
    </row>
    <row r="130" customFormat="false" ht="15" hidden="false" customHeight="false" outlineLevel="0" collapsed="false">
      <c r="A130" s="6" t="n">
        <v>0</v>
      </c>
      <c r="B130" s="6" t="n">
        <v>128</v>
      </c>
      <c r="C130" s="6" t="s">
        <v>169</v>
      </c>
      <c r="D130" s="6" t="s">
        <v>170</v>
      </c>
      <c r="E130" s="6" t="s">
        <v>40</v>
      </c>
      <c r="F130" s="6" t="n">
        <v>1</v>
      </c>
      <c r="G130" s="6" t="n">
        <f aca="false">IF(F130=0,0,1)</f>
        <v>1</v>
      </c>
      <c r="H130" s="6" t="str">
        <f aca="false">IF(E130="RECOVERY","RECOVERY_START",E130)</f>
        <v>BASELINE_COMPATIBLE</v>
      </c>
      <c r="I130" s="6" t="str">
        <f aca="false">H131</f>
        <v>BASELINE_COMPATIBLE</v>
      </c>
      <c r="J130" s="6" t="n">
        <f aca="false">IF(AND(G130=1,G131=1),1,0)</f>
        <v>1</v>
      </c>
    </row>
    <row r="131" customFormat="false" ht="15" hidden="false" customHeight="false" outlineLevel="0" collapsed="false">
      <c r="A131" s="6" t="n">
        <v>0</v>
      </c>
      <c r="B131" s="6" t="n">
        <v>129</v>
      </c>
      <c r="C131" s="6" t="s">
        <v>170</v>
      </c>
      <c r="D131" s="6" t="s">
        <v>171</v>
      </c>
      <c r="E131" s="6" t="s">
        <v>40</v>
      </c>
      <c r="F131" s="6" t="n">
        <v>1</v>
      </c>
      <c r="G131" s="6" t="n">
        <f aca="false">IF(F131=0,0,1)</f>
        <v>1</v>
      </c>
      <c r="H131" s="6" t="str">
        <f aca="false">IF(E131="RECOVERY","RECOVERY_START",E131)</f>
        <v>BASELINE_COMPATIBLE</v>
      </c>
      <c r="I131" s="6" t="str">
        <f aca="false">H132</f>
        <v>BASELINE_COMPATIBLE</v>
      </c>
      <c r="J131" s="6" t="n">
        <f aca="false">IF(AND(G131=1,G132=1),1,0)</f>
        <v>1</v>
      </c>
    </row>
    <row r="132" customFormat="false" ht="15" hidden="false" customHeight="false" outlineLevel="0" collapsed="false">
      <c r="A132" s="6" t="n">
        <v>0</v>
      </c>
      <c r="B132" s="6" t="n">
        <v>130</v>
      </c>
      <c r="C132" s="6" t="s">
        <v>171</v>
      </c>
      <c r="D132" s="6" t="s">
        <v>172</v>
      </c>
      <c r="E132" s="6" t="s">
        <v>40</v>
      </c>
      <c r="F132" s="6" t="n">
        <v>1</v>
      </c>
      <c r="G132" s="6" t="n">
        <f aca="false">IF(F132=0,0,1)</f>
        <v>1</v>
      </c>
      <c r="H132" s="6" t="str">
        <f aca="false">IF(E132="RECOVERY","RECOVERY_START",E132)</f>
        <v>BASELINE_COMPATIBLE</v>
      </c>
      <c r="I132" s="6" t="str">
        <f aca="false">H133</f>
        <v>BASELINE_COMPATIBLE</v>
      </c>
      <c r="J132" s="6" t="n">
        <f aca="false">IF(AND(G132=1,G133=1),1,0)</f>
        <v>0</v>
      </c>
    </row>
    <row r="133" customFormat="false" ht="15" hidden="false" customHeight="false" outlineLevel="0" collapsed="false">
      <c r="A133" s="6" t="n">
        <v>0</v>
      </c>
      <c r="B133" s="6" t="n">
        <v>131</v>
      </c>
      <c r="C133" s="6" t="s">
        <v>172</v>
      </c>
      <c r="D133" s="6" t="s">
        <v>173</v>
      </c>
      <c r="E133" s="6" t="s">
        <v>40</v>
      </c>
      <c r="F133" s="6" t="n">
        <v>0</v>
      </c>
      <c r="G133" s="6" t="n">
        <f aca="false">IF(F133=0,0,1)</f>
        <v>0</v>
      </c>
      <c r="H133" s="6" t="str">
        <f aca="false">IF(E133="RECOVERY","RECOVERY_START",E133)</f>
        <v>BASELINE_COMPATIBLE</v>
      </c>
      <c r="I133" s="6" t="str">
        <f aca="false">H134</f>
        <v>BASELINE_COMPATIBLE</v>
      </c>
      <c r="J133" s="6" t="n">
        <f aca="false">IF(AND(G133=1,G134=1),1,0)</f>
        <v>0</v>
      </c>
    </row>
    <row r="134" customFormat="false" ht="15" hidden="false" customHeight="false" outlineLevel="0" collapsed="false">
      <c r="A134" s="6" t="n">
        <v>0</v>
      </c>
      <c r="B134" s="6" t="n">
        <v>132</v>
      </c>
      <c r="C134" s="6" t="s">
        <v>173</v>
      </c>
      <c r="D134" s="6" t="s">
        <v>174</v>
      </c>
      <c r="E134" s="6" t="s">
        <v>40</v>
      </c>
      <c r="F134" s="6" t="n">
        <v>1</v>
      </c>
      <c r="G134" s="6" t="n">
        <f aca="false">IF(F134=0,0,1)</f>
        <v>1</v>
      </c>
      <c r="H134" s="6" t="str">
        <f aca="false">IF(E134="RECOVERY","RECOVERY_START",E134)</f>
        <v>BASELINE_COMPATIBLE</v>
      </c>
      <c r="I134" s="6" t="str">
        <f aca="false">H135</f>
        <v>BASELINE_COMPATIBLE</v>
      </c>
      <c r="J134" s="6" t="n">
        <f aca="false">IF(AND(G134=1,G135=1),1,0)</f>
        <v>1</v>
      </c>
    </row>
    <row r="135" customFormat="false" ht="15" hidden="false" customHeight="false" outlineLevel="0" collapsed="false">
      <c r="A135" s="6" t="n">
        <v>0</v>
      </c>
      <c r="B135" s="6" t="n">
        <v>133</v>
      </c>
      <c r="C135" s="6" t="s">
        <v>174</v>
      </c>
      <c r="D135" s="6" t="s">
        <v>175</v>
      </c>
      <c r="E135" s="6" t="s">
        <v>40</v>
      </c>
      <c r="F135" s="6" t="n">
        <v>1</v>
      </c>
      <c r="G135" s="6" t="n">
        <f aca="false">IF(F135=0,0,1)</f>
        <v>1</v>
      </c>
      <c r="H135" s="6" t="str">
        <f aca="false">IF(E135="RECOVERY","RECOVERY_START",E135)</f>
        <v>BASELINE_COMPATIBLE</v>
      </c>
      <c r="I135" s="6" t="str">
        <f aca="false">H136</f>
        <v>BASELINE_COMPATIBLE</v>
      </c>
      <c r="J135" s="6" t="n">
        <f aca="false">IF(AND(G135=1,G136=1),1,0)</f>
        <v>1</v>
      </c>
    </row>
    <row r="136" customFormat="false" ht="15" hidden="false" customHeight="false" outlineLevel="0" collapsed="false">
      <c r="A136" s="6" t="n">
        <v>0</v>
      </c>
      <c r="B136" s="6" t="n">
        <v>134</v>
      </c>
      <c r="C136" s="6" t="s">
        <v>175</v>
      </c>
      <c r="D136" s="6" t="s">
        <v>176</v>
      </c>
      <c r="E136" s="6" t="s">
        <v>40</v>
      </c>
      <c r="F136" s="6" t="n">
        <v>1</v>
      </c>
      <c r="G136" s="6" t="n">
        <f aca="false">IF(F136=0,0,1)</f>
        <v>1</v>
      </c>
      <c r="H136" s="6" t="str">
        <f aca="false">IF(E136="RECOVERY","RECOVERY_START",E136)</f>
        <v>BASELINE_COMPATIBLE</v>
      </c>
      <c r="I136" s="6" t="str">
        <f aca="false">H137</f>
        <v>BASELINE_COMPATIBLE</v>
      </c>
      <c r="J136" s="6" t="n">
        <f aca="false">IF(AND(G136=1,G137=1),1,0)</f>
        <v>1</v>
      </c>
    </row>
    <row r="137" customFormat="false" ht="15" hidden="false" customHeight="false" outlineLevel="0" collapsed="false">
      <c r="A137" s="6" t="n">
        <v>0</v>
      </c>
      <c r="B137" s="6" t="n">
        <v>135</v>
      </c>
      <c r="C137" s="6" t="s">
        <v>176</v>
      </c>
      <c r="D137" s="6" t="s">
        <v>177</v>
      </c>
      <c r="E137" s="6" t="s">
        <v>40</v>
      </c>
      <c r="F137" s="6" t="n">
        <v>1</v>
      </c>
      <c r="G137" s="6" t="n">
        <f aca="false">IF(F137=0,0,1)</f>
        <v>1</v>
      </c>
      <c r="H137" s="6" t="str">
        <f aca="false">IF(E137="RECOVERY","RECOVERY_START",E137)</f>
        <v>BASELINE_COMPATIBLE</v>
      </c>
      <c r="I137" s="6" t="str">
        <f aca="false">H138</f>
        <v>BASELINE_COMPATIBLE</v>
      </c>
      <c r="J137" s="6" t="n">
        <f aca="false">IF(AND(G137=1,G138=1),1,0)</f>
        <v>1</v>
      </c>
    </row>
    <row r="138" customFormat="false" ht="15" hidden="false" customHeight="false" outlineLevel="0" collapsed="false">
      <c r="A138" s="6" t="n">
        <v>0</v>
      </c>
      <c r="B138" s="6" t="n">
        <v>136</v>
      </c>
      <c r="C138" s="6" t="s">
        <v>177</v>
      </c>
      <c r="D138" s="6" t="s">
        <v>178</v>
      </c>
      <c r="E138" s="6" t="s">
        <v>40</v>
      </c>
      <c r="F138" s="6" t="n">
        <v>1</v>
      </c>
      <c r="G138" s="6" t="n">
        <f aca="false">IF(F138=0,0,1)</f>
        <v>1</v>
      </c>
      <c r="H138" s="6" t="str">
        <f aca="false">IF(E138="RECOVERY","RECOVERY_START",E138)</f>
        <v>BASELINE_COMPATIBLE</v>
      </c>
      <c r="I138" s="6" t="str">
        <f aca="false">H139</f>
        <v>BASELINE_COMPATIBLE</v>
      </c>
      <c r="J138" s="6" t="n">
        <f aca="false">IF(AND(G138=1,G139=1),1,0)</f>
        <v>1</v>
      </c>
    </row>
    <row r="139" customFormat="false" ht="15" hidden="false" customHeight="false" outlineLevel="0" collapsed="false">
      <c r="A139" s="6" t="n">
        <v>0</v>
      </c>
      <c r="B139" s="6" t="n">
        <v>137</v>
      </c>
      <c r="C139" s="6" t="s">
        <v>178</v>
      </c>
      <c r="D139" s="6" t="s">
        <v>179</v>
      </c>
      <c r="E139" s="6" t="s">
        <v>40</v>
      </c>
      <c r="F139" s="6" t="n">
        <v>1</v>
      </c>
      <c r="G139" s="6" t="n">
        <f aca="false">IF(F139=0,0,1)</f>
        <v>1</v>
      </c>
      <c r="H139" s="6" t="str">
        <f aca="false">IF(E139="RECOVERY","RECOVERY_START",E139)</f>
        <v>BASELINE_COMPATIBLE</v>
      </c>
      <c r="I139" s="6" t="str">
        <f aca="false">H140</f>
        <v>BASELINE_COMPATIBLE</v>
      </c>
      <c r="J139" s="6" t="n">
        <f aca="false">IF(AND(G139=1,G140=1),1,0)</f>
        <v>1</v>
      </c>
    </row>
    <row r="140" customFormat="false" ht="15" hidden="false" customHeight="false" outlineLevel="0" collapsed="false">
      <c r="A140" s="6" t="n">
        <v>0</v>
      </c>
      <c r="B140" s="6" t="n">
        <v>138</v>
      </c>
      <c r="C140" s="6" t="s">
        <v>179</v>
      </c>
      <c r="D140" s="6" t="s">
        <v>180</v>
      </c>
      <c r="E140" s="6" t="s">
        <v>40</v>
      </c>
      <c r="F140" s="6" t="n">
        <v>1</v>
      </c>
      <c r="G140" s="6" t="n">
        <f aca="false">IF(F140=0,0,1)</f>
        <v>1</v>
      </c>
      <c r="H140" s="6" t="str">
        <f aca="false">IF(E140="RECOVERY","RECOVERY_START",E140)</f>
        <v>BASELINE_COMPATIBLE</v>
      </c>
      <c r="I140" s="6" t="str">
        <f aca="false">H141</f>
        <v>BASELINE_COMPATIBLE</v>
      </c>
      <c r="J140" s="6" t="n">
        <f aca="false">IF(AND(G140=1,G141=1),1,0)</f>
        <v>1</v>
      </c>
    </row>
    <row r="141" customFormat="false" ht="15" hidden="false" customHeight="false" outlineLevel="0" collapsed="false">
      <c r="A141" s="6" t="n">
        <v>0</v>
      </c>
      <c r="B141" s="6" t="n">
        <v>139</v>
      </c>
      <c r="C141" s="6" t="s">
        <v>180</v>
      </c>
      <c r="D141" s="6" t="s">
        <v>181</v>
      </c>
      <c r="E141" s="6" t="s">
        <v>40</v>
      </c>
      <c r="F141" s="6" t="n">
        <v>1</v>
      </c>
      <c r="G141" s="6" t="n">
        <f aca="false">IF(F141=0,0,1)</f>
        <v>1</v>
      </c>
      <c r="H141" s="6" t="str">
        <f aca="false">IF(E141="RECOVERY","RECOVERY_START",E141)</f>
        <v>BASELINE_COMPATIBLE</v>
      </c>
      <c r="I141" s="6" t="str">
        <f aca="false">H142</f>
        <v>BASELINE_COMPATIBLE</v>
      </c>
      <c r="J141" s="6" t="n">
        <f aca="false">IF(AND(G141=1,G142=1),1,0)</f>
        <v>1</v>
      </c>
    </row>
    <row r="142" customFormat="false" ht="15" hidden="false" customHeight="false" outlineLevel="0" collapsed="false">
      <c r="A142" s="6" t="n">
        <v>0</v>
      </c>
      <c r="B142" s="6" t="n">
        <v>140</v>
      </c>
      <c r="C142" s="6" t="s">
        <v>181</v>
      </c>
      <c r="D142" s="6" t="s">
        <v>182</v>
      </c>
      <c r="E142" s="6" t="s">
        <v>40</v>
      </c>
      <c r="F142" s="6" t="n">
        <v>1</v>
      </c>
      <c r="G142" s="6" t="n">
        <f aca="false">IF(F142=0,0,1)</f>
        <v>1</v>
      </c>
      <c r="H142" s="6" t="str">
        <f aca="false">IF(E142="RECOVERY","RECOVERY_START",E142)</f>
        <v>BASELINE_COMPATIBLE</v>
      </c>
      <c r="I142" s="6" t="str">
        <f aca="false">H143</f>
        <v>BASELINE_COMPATIBLE</v>
      </c>
      <c r="J142" s="6" t="n">
        <f aca="false">IF(AND(G142=1,G143=1),1,0)</f>
        <v>1</v>
      </c>
    </row>
    <row r="143" customFormat="false" ht="15" hidden="false" customHeight="false" outlineLevel="0" collapsed="false">
      <c r="A143" s="6" t="n">
        <v>0</v>
      </c>
      <c r="B143" s="6" t="n">
        <v>141</v>
      </c>
      <c r="C143" s="6" t="s">
        <v>182</v>
      </c>
      <c r="D143" s="6" t="s">
        <v>183</v>
      </c>
      <c r="E143" s="6" t="s">
        <v>40</v>
      </c>
      <c r="F143" s="6" t="n">
        <v>1</v>
      </c>
      <c r="G143" s="6" t="n">
        <f aca="false">IF(F143=0,0,1)</f>
        <v>1</v>
      </c>
      <c r="H143" s="6" t="str">
        <f aca="false">IF(E143="RECOVERY","RECOVERY_START",E143)</f>
        <v>BASELINE_COMPATIBLE</v>
      </c>
      <c r="I143" s="6" t="str">
        <f aca="false">H144</f>
        <v>BASELINE_COMPATIBLE</v>
      </c>
      <c r="J143" s="6" t="n">
        <f aca="false">IF(AND(G143=1,G144=1),1,0)</f>
        <v>1</v>
      </c>
    </row>
    <row r="144" customFormat="false" ht="15" hidden="false" customHeight="false" outlineLevel="0" collapsed="false">
      <c r="A144" s="6" t="n">
        <v>0</v>
      </c>
      <c r="B144" s="6" t="n">
        <v>142</v>
      </c>
      <c r="C144" s="6" t="s">
        <v>183</v>
      </c>
      <c r="D144" s="6" t="s">
        <v>184</v>
      </c>
      <c r="E144" s="6" t="s">
        <v>40</v>
      </c>
      <c r="F144" s="6" t="n">
        <v>1</v>
      </c>
      <c r="G144" s="6" t="n">
        <f aca="false">IF(F144=0,0,1)</f>
        <v>1</v>
      </c>
      <c r="H144" s="6" t="str">
        <f aca="false">IF(E144="RECOVERY","RECOVERY_START",E144)</f>
        <v>BASELINE_COMPATIBLE</v>
      </c>
      <c r="I144" s="6" t="str">
        <f aca="false">H145</f>
        <v>BASELINE_COMPATIBLE</v>
      </c>
      <c r="J144" s="6" t="n">
        <f aca="false">IF(AND(G144=1,G145=1),1,0)</f>
        <v>1</v>
      </c>
    </row>
    <row r="145" customFormat="false" ht="15" hidden="false" customHeight="false" outlineLevel="0" collapsed="false">
      <c r="A145" s="6" t="n">
        <v>0</v>
      </c>
      <c r="B145" s="6" t="n">
        <v>143</v>
      </c>
      <c r="C145" s="6" t="s">
        <v>184</v>
      </c>
      <c r="D145" s="6" t="s">
        <v>185</v>
      </c>
      <c r="E145" s="6" t="s">
        <v>40</v>
      </c>
      <c r="F145" s="6" t="n">
        <v>1</v>
      </c>
      <c r="G145" s="6" t="n">
        <f aca="false">IF(F145=0,0,1)</f>
        <v>1</v>
      </c>
      <c r="H145" s="6" t="str">
        <f aca="false">IF(E145="RECOVERY","RECOVERY_START",E145)</f>
        <v>BASELINE_COMPATIBLE</v>
      </c>
      <c r="I145" s="6" t="str">
        <f aca="false">H146</f>
        <v>BASELINE_COMPATIBLE</v>
      </c>
      <c r="J145" s="6" t="n">
        <f aca="false">IF(AND(G145=1,G146=1),1,0)</f>
        <v>1</v>
      </c>
    </row>
    <row r="146" customFormat="false" ht="15" hidden="false" customHeight="false" outlineLevel="0" collapsed="false">
      <c r="A146" s="6" t="n">
        <v>0</v>
      </c>
      <c r="B146" s="6" t="n">
        <v>144</v>
      </c>
      <c r="C146" s="6" t="s">
        <v>185</v>
      </c>
      <c r="D146" s="6" t="s">
        <v>186</v>
      </c>
      <c r="E146" s="6" t="s">
        <v>40</v>
      </c>
      <c r="F146" s="6" t="n">
        <v>1</v>
      </c>
      <c r="G146" s="6" t="n">
        <f aca="false">IF(F146=0,0,1)</f>
        <v>1</v>
      </c>
      <c r="H146" s="6" t="str">
        <f aca="false">IF(E146="RECOVERY","RECOVERY_START",E146)</f>
        <v>BASELINE_COMPATIBLE</v>
      </c>
      <c r="I146" s="6" t="str">
        <f aca="false">H147</f>
        <v>BASELINE_COMPATIBLE</v>
      </c>
      <c r="J146" s="6" t="n">
        <f aca="false">IF(AND(G146=1,G147=1),1,0)</f>
        <v>1</v>
      </c>
    </row>
    <row r="147" customFormat="false" ht="15" hidden="false" customHeight="false" outlineLevel="0" collapsed="false">
      <c r="A147" s="6" t="n">
        <v>0</v>
      </c>
      <c r="B147" s="6" t="n">
        <v>145</v>
      </c>
      <c r="C147" s="6" t="s">
        <v>186</v>
      </c>
      <c r="D147" s="6" t="s">
        <v>187</v>
      </c>
      <c r="E147" s="6" t="s">
        <v>40</v>
      </c>
      <c r="F147" s="6" t="n">
        <v>1</v>
      </c>
      <c r="G147" s="6" t="n">
        <f aca="false">IF(F147=0,0,1)</f>
        <v>1</v>
      </c>
      <c r="H147" s="6" t="str">
        <f aca="false">IF(E147="RECOVERY","RECOVERY_START",E147)</f>
        <v>BASELINE_COMPATIBLE</v>
      </c>
      <c r="I147" s="6" t="str">
        <f aca="false">H148</f>
        <v>BASELINE_COMPATIBLE</v>
      </c>
      <c r="J147" s="6" t="n">
        <f aca="false">IF(AND(G147=1,G148=1),1,0)</f>
        <v>1</v>
      </c>
    </row>
    <row r="148" customFormat="false" ht="15" hidden="false" customHeight="false" outlineLevel="0" collapsed="false">
      <c r="A148" s="6" t="n">
        <v>0</v>
      </c>
      <c r="B148" s="6" t="n">
        <v>146</v>
      </c>
      <c r="C148" s="6" t="s">
        <v>187</v>
      </c>
      <c r="D148" s="6" t="s">
        <v>188</v>
      </c>
      <c r="E148" s="6" t="s">
        <v>40</v>
      </c>
      <c r="F148" s="6" t="n">
        <v>1</v>
      </c>
      <c r="G148" s="6" t="n">
        <f aca="false">IF(F148=0,0,1)</f>
        <v>1</v>
      </c>
      <c r="H148" s="6" t="str">
        <f aca="false">IF(E148="RECOVERY","RECOVERY_START",E148)</f>
        <v>BASELINE_COMPATIBLE</v>
      </c>
      <c r="I148" s="6" t="str">
        <f aca="false">H149</f>
        <v>BASELINE_COMPATIBLE</v>
      </c>
      <c r="J148" s="6" t="n">
        <f aca="false">IF(AND(G148=1,G149=1),1,0)</f>
        <v>1</v>
      </c>
    </row>
    <row r="149" customFormat="false" ht="15" hidden="false" customHeight="false" outlineLevel="0" collapsed="false">
      <c r="A149" s="6" t="n">
        <v>0</v>
      </c>
      <c r="B149" s="6" t="n">
        <v>147</v>
      </c>
      <c r="C149" s="6" t="s">
        <v>188</v>
      </c>
      <c r="D149" s="6" t="s">
        <v>189</v>
      </c>
      <c r="E149" s="6" t="s">
        <v>40</v>
      </c>
      <c r="F149" s="6" t="n">
        <v>1</v>
      </c>
      <c r="G149" s="6" t="n">
        <f aca="false">IF(F149=0,0,1)</f>
        <v>1</v>
      </c>
      <c r="H149" s="6" t="str">
        <f aca="false">IF(E149="RECOVERY","RECOVERY_START",E149)</f>
        <v>BASELINE_COMPATIBLE</v>
      </c>
      <c r="I149" s="6" t="str">
        <f aca="false">H150</f>
        <v>BASELINE_COMPATIBLE</v>
      </c>
      <c r="J149" s="6" t="n">
        <f aca="false">IF(AND(G149=1,G150=1),1,0)</f>
        <v>1</v>
      </c>
    </row>
    <row r="150" customFormat="false" ht="15" hidden="false" customHeight="false" outlineLevel="0" collapsed="false">
      <c r="A150" s="6" t="n">
        <v>0</v>
      </c>
      <c r="B150" s="6" t="n">
        <v>148</v>
      </c>
      <c r="C150" s="6" t="s">
        <v>189</v>
      </c>
      <c r="D150" s="6" t="s">
        <v>190</v>
      </c>
      <c r="E150" s="6" t="s">
        <v>40</v>
      </c>
      <c r="F150" s="6" t="n">
        <v>1</v>
      </c>
      <c r="G150" s="6" t="n">
        <f aca="false">IF(F150=0,0,1)</f>
        <v>1</v>
      </c>
      <c r="H150" s="6" t="str">
        <f aca="false">IF(E150="RECOVERY","RECOVERY_START",E150)</f>
        <v>BASELINE_COMPATIBLE</v>
      </c>
      <c r="I150" s="6" t="str">
        <f aca="false">H151</f>
        <v>BASELINE_COMPATIBLE</v>
      </c>
      <c r="J150" s="6" t="n">
        <f aca="false">IF(AND(G150=1,G151=1),1,0)</f>
        <v>1</v>
      </c>
    </row>
    <row r="151" customFormat="false" ht="15" hidden="false" customHeight="false" outlineLevel="0" collapsed="false">
      <c r="A151" s="6" t="n">
        <v>0</v>
      </c>
      <c r="B151" s="6" t="n">
        <v>149</v>
      </c>
      <c r="C151" s="6" t="s">
        <v>190</v>
      </c>
      <c r="D151" s="6" t="s">
        <v>191</v>
      </c>
      <c r="E151" s="6" t="s">
        <v>40</v>
      </c>
      <c r="F151" s="6" t="n">
        <v>1</v>
      </c>
      <c r="G151" s="6" t="n">
        <f aca="false">IF(F151=0,0,1)</f>
        <v>1</v>
      </c>
      <c r="H151" s="6" t="str">
        <f aca="false">IF(E151="RECOVERY","RECOVERY_START",E151)</f>
        <v>BASELINE_COMPATIBLE</v>
      </c>
      <c r="I151" s="6" t="str">
        <f aca="false">H152</f>
        <v>BASELINE_COMPATIBLE</v>
      </c>
      <c r="J151" s="6" t="n">
        <f aca="false">IF(AND(G151=1,G152=1),1,0)</f>
        <v>1</v>
      </c>
    </row>
    <row r="152" customFormat="false" ht="15" hidden="false" customHeight="false" outlineLevel="0" collapsed="false">
      <c r="A152" s="6" t="n">
        <v>0</v>
      </c>
      <c r="B152" s="6" t="n">
        <v>150</v>
      </c>
      <c r="C152" s="6" t="s">
        <v>191</v>
      </c>
      <c r="D152" s="6" t="s">
        <v>192</v>
      </c>
      <c r="E152" s="6" t="s">
        <v>40</v>
      </c>
      <c r="F152" s="6" t="n">
        <v>1</v>
      </c>
      <c r="G152" s="6" t="n">
        <f aca="false">IF(F152=0,0,1)</f>
        <v>1</v>
      </c>
      <c r="H152" s="6" t="str">
        <f aca="false">IF(E152="RECOVERY","RECOVERY_START",E152)</f>
        <v>BASELINE_COMPATIBLE</v>
      </c>
      <c r="I152" s="6" t="str">
        <f aca="false">H153</f>
        <v>BASELINE_COMPATIBLE</v>
      </c>
      <c r="J152" s="6" t="n">
        <f aca="false">IF(AND(G152=1,G153=1),1,0)</f>
        <v>1</v>
      </c>
    </row>
    <row r="153" customFormat="false" ht="15" hidden="false" customHeight="false" outlineLevel="0" collapsed="false">
      <c r="A153" s="6" t="n">
        <v>0</v>
      </c>
      <c r="B153" s="6" t="n">
        <v>151</v>
      </c>
      <c r="C153" s="6" t="s">
        <v>192</v>
      </c>
      <c r="D153" s="6" t="s">
        <v>193</v>
      </c>
      <c r="E153" s="6" t="s">
        <v>40</v>
      </c>
      <c r="F153" s="6" t="n">
        <v>1</v>
      </c>
      <c r="G153" s="6" t="n">
        <f aca="false">IF(F153=0,0,1)</f>
        <v>1</v>
      </c>
      <c r="H153" s="6" t="str">
        <f aca="false">IF(E153="RECOVERY","RECOVERY_START",E153)</f>
        <v>BASELINE_COMPATIBLE</v>
      </c>
      <c r="I153" s="6" t="str">
        <f aca="false">H154</f>
        <v>BASELINE_COMPATIBLE</v>
      </c>
      <c r="J153" s="6" t="n">
        <f aca="false">IF(AND(G153=1,G154=1),1,0)</f>
        <v>1</v>
      </c>
    </row>
    <row r="154" customFormat="false" ht="15" hidden="false" customHeight="false" outlineLevel="0" collapsed="false">
      <c r="A154" s="6" t="n">
        <v>0</v>
      </c>
      <c r="B154" s="6" t="n">
        <v>152</v>
      </c>
      <c r="C154" s="6" t="s">
        <v>193</v>
      </c>
      <c r="D154" s="6" t="s">
        <v>194</v>
      </c>
      <c r="E154" s="6" t="s">
        <v>40</v>
      </c>
      <c r="F154" s="6" t="n">
        <v>1</v>
      </c>
      <c r="G154" s="6" t="n">
        <f aca="false">IF(F154=0,0,1)</f>
        <v>1</v>
      </c>
      <c r="H154" s="6" t="str">
        <f aca="false">IF(E154="RECOVERY","RECOVERY_START",E154)</f>
        <v>BASELINE_COMPATIBLE</v>
      </c>
      <c r="I154" s="6" t="str">
        <f aca="false">H155</f>
        <v>BASELINE_COMPATIBLE</v>
      </c>
      <c r="J154" s="6" t="n">
        <f aca="false">IF(AND(G154=1,G155=1),1,0)</f>
        <v>1</v>
      </c>
    </row>
    <row r="155" customFormat="false" ht="15" hidden="false" customHeight="false" outlineLevel="0" collapsed="false">
      <c r="A155" s="6" t="n">
        <v>0</v>
      </c>
      <c r="B155" s="6" t="n">
        <v>153</v>
      </c>
      <c r="C155" s="6" t="s">
        <v>194</v>
      </c>
      <c r="D155" s="6" t="s">
        <v>195</v>
      </c>
      <c r="E155" s="6" t="s">
        <v>40</v>
      </c>
      <c r="F155" s="6" t="n">
        <v>1</v>
      </c>
      <c r="G155" s="6" t="n">
        <f aca="false">IF(F155=0,0,1)</f>
        <v>1</v>
      </c>
      <c r="H155" s="6" t="str">
        <f aca="false">IF(E155="RECOVERY","RECOVERY_START",E155)</f>
        <v>BASELINE_COMPATIBLE</v>
      </c>
      <c r="I155" s="6" t="str">
        <f aca="false">H156</f>
        <v>BASELINE_COMPATIBLE</v>
      </c>
      <c r="J155" s="6" t="n">
        <f aca="false">IF(AND(G155=1,G156=1),1,0)</f>
        <v>1</v>
      </c>
    </row>
    <row r="156" customFormat="false" ht="15" hidden="false" customHeight="false" outlineLevel="0" collapsed="false">
      <c r="A156" s="6" t="n">
        <v>0</v>
      </c>
      <c r="B156" s="6" t="n">
        <v>154</v>
      </c>
      <c r="C156" s="6" t="s">
        <v>196</v>
      </c>
      <c r="D156" s="6" t="s">
        <v>197</v>
      </c>
      <c r="E156" s="6" t="s">
        <v>40</v>
      </c>
      <c r="F156" s="6" t="n">
        <v>1</v>
      </c>
      <c r="G156" s="6" t="n">
        <f aca="false">IF(F156=0,0,1)</f>
        <v>1</v>
      </c>
      <c r="H156" s="6" t="str">
        <f aca="false">IF(E156="RECOVERY","RECOVERY_START",E156)</f>
        <v>BASELINE_COMPATIBLE</v>
      </c>
      <c r="I156" s="6" t="str">
        <f aca="false">H157</f>
        <v>BASELINE_COMPATIBLE</v>
      </c>
      <c r="J156" s="6" t="n">
        <f aca="false">IF(AND(G156=1,G157=1),1,0)</f>
        <v>1</v>
      </c>
    </row>
    <row r="157" customFormat="false" ht="15" hidden="false" customHeight="false" outlineLevel="0" collapsed="false">
      <c r="A157" s="6" t="n">
        <v>0</v>
      </c>
      <c r="B157" s="6" t="n">
        <v>155</v>
      </c>
      <c r="C157" s="6" t="s">
        <v>197</v>
      </c>
      <c r="D157" s="6" t="s">
        <v>198</v>
      </c>
      <c r="E157" s="6" t="s">
        <v>40</v>
      </c>
      <c r="F157" s="6" t="n">
        <v>1</v>
      </c>
      <c r="G157" s="6" t="n">
        <f aca="false">IF(F157=0,0,1)</f>
        <v>1</v>
      </c>
      <c r="H157" s="6" t="str">
        <f aca="false">IF(E157="RECOVERY","RECOVERY_START",E157)</f>
        <v>BASELINE_COMPATIBLE</v>
      </c>
      <c r="I157" s="6" t="str">
        <f aca="false">H158</f>
        <v>BASELINE_COMPATIBLE</v>
      </c>
      <c r="J157" s="6" t="n">
        <f aca="false">IF(AND(G157=1,G158=1),1,0)</f>
        <v>1</v>
      </c>
    </row>
    <row r="158" customFormat="false" ht="15" hidden="false" customHeight="false" outlineLevel="0" collapsed="false">
      <c r="A158" s="6" t="n">
        <v>0</v>
      </c>
      <c r="B158" s="6" t="n">
        <v>156</v>
      </c>
      <c r="C158" s="6" t="s">
        <v>198</v>
      </c>
      <c r="D158" s="6" t="s">
        <v>199</v>
      </c>
      <c r="E158" s="6" t="s">
        <v>40</v>
      </c>
      <c r="F158" s="6" t="n">
        <v>1</v>
      </c>
      <c r="G158" s="6" t="n">
        <f aca="false">IF(F158=0,0,1)</f>
        <v>1</v>
      </c>
      <c r="H158" s="6" t="str">
        <f aca="false">IF(E158="RECOVERY","RECOVERY_START",E158)</f>
        <v>BASELINE_COMPATIBLE</v>
      </c>
      <c r="I158" s="6" t="str">
        <f aca="false">H159</f>
        <v>BASELINE_COMPATIBLE</v>
      </c>
      <c r="J158" s="6" t="n">
        <f aca="false">IF(AND(G158=1,G159=1),1,0)</f>
        <v>1</v>
      </c>
    </row>
    <row r="159" customFormat="false" ht="15" hidden="false" customHeight="false" outlineLevel="0" collapsed="false">
      <c r="A159" s="6" t="n">
        <v>0</v>
      </c>
      <c r="B159" s="6" t="n">
        <v>157</v>
      </c>
      <c r="C159" s="6" t="s">
        <v>199</v>
      </c>
      <c r="D159" s="6" t="s">
        <v>200</v>
      </c>
      <c r="E159" s="6" t="s">
        <v>40</v>
      </c>
      <c r="F159" s="6" t="n">
        <v>1</v>
      </c>
      <c r="G159" s="6" t="n">
        <f aca="false">IF(F159=0,0,1)</f>
        <v>1</v>
      </c>
      <c r="H159" s="6" t="str">
        <f aca="false">IF(E159="RECOVERY","RECOVERY_START",E159)</f>
        <v>BASELINE_COMPATIBLE</v>
      </c>
      <c r="I159" s="6" t="str">
        <f aca="false">H160</f>
        <v>BASELINE_COMPATIBLE</v>
      </c>
      <c r="J159" s="6" t="n">
        <f aca="false">IF(AND(G159=1,G160=1),1,0)</f>
        <v>1</v>
      </c>
    </row>
    <row r="160" customFormat="false" ht="15" hidden="false" customHeight="false" outlineLevel="0" collapsed="false">
      <c r="A160" s="6" t="n">
        <v>0</v>
      </c>
      <c r="B160" s="6" t="n">
        <v>158</v>
      </c>
      <c r="C160" s="6" t="s">
        <v>200</v>
      </c>
      <c r="D160" s="6" t="s">
        <v>201</v>
      </c>
      <c r="E160" s="6" t="s">
        <v>40</v>
      </c>
      <c r="F160" s="6" t="n">
        <v>1</v>
      </c>
      <c r="G160" s="6" t="n">
        <f aca="false">IF(F160=0,0,1)</f>
        <v>1</v>
      </c>
      <c r="H160" s="6" t="str">
        <f aca="false">IF(E160="RECOVERY","RECOVERY_START",E160)</f>
        <v>BASELINE_COMPATIBLE</v>
      </c>
      <c r="I160" s="6" t="str">
        <f aca="false">H161</f>
        <v>BASELINE_COMPATIBLE</v>
      </c>
      <c r="J160" s="6" t="n">
        <f aca="false">IF(AND(G160=1,G161=1),1,0)</f>
        <v>1</v>
      </c>
    </row>
    <row r="161" customFormat="false" ht="15" hidden="false" customHeight="false" outlineLevel="0" collapsed="false">
      <c r="A161" s="6" t="n">
        <v>0</v>
      </c>
      <c r="B161" s="6" t="n">
        <v>159</v>
      </c>
      <c r="C161" s="6" t="s">
        <v>201</v>
      </c>
      <c r="D161" s="6" t="s">
        <v>202</v>
      </c>
      <c r="E161" s="6" t="s">
        <v>40</v>
      </c>
      <c r="F161" s="6" t="n">
        <v>1</v>
      </c>
      <c r="G161" s="6" t="n">
        <f aca="false">IF(F161=0,0,1)</f>
        <v>1</v>
      </c>
      <c r="H161" s="6" t="str">
        <f aca="false">IF(E161="RECOVERY","RECOVERY_START",E161)</f>
        <v>BASELINE_COMPATIBLE</v>
      </c>
      <c r="I161" s="6" t="str">
        <f aca="false">H162</f>
        <v>BASELINE_COMPATIBLE</v>
      </c>
      <c r="J161" s="6" t="n">
        <f aca="false">IF(AND(G161=1,G162=1),1,0)</f>
        <v>1</v>
      </c>
    </row>
    <row r="162" customFormat="false" ht="15" hidden="false" customHeight="false" outlineLevel="0" collapsed="false">
      <c r="A162" s="6" t="n">
        <v>0</v>
      </c>
      <c r="B162" s="6" t="n">
        <v>160</v>
      </c>
      <c r="C162" s="6" t="s">
        <v>202</v>
      </c>
      <c r="D162" s="6" t="s">
        <v>203</v>
      </c>
      <c r="E162" s="6" t="s">
        <v>40</v>
      </c>
      <c r="F162" s="6" t="n">
        <v>1</v>
      </c>
      <c r="G162" s="6" t="n">
        <f aca="false">IF(F162=0,0,1)</f>
        <v>1</v>
      </c>
      <c r="H162" s="6" t="str">
        <f aca="false">IF(E162="RECOVERY","RECOVERY_START",E162)</f>
        <v>BASELINE_COMPATIBLE</v>
      </c>
      <c r="I162" s="6" t="str">
        <f aca="false">H163</f>
        <v>BASELINE_COMPATIBLE</v>
      </c>
      <c r="J162" s="6" t="n">
        <f aca="false">IF(AND(G162=1,G163=1),1,0)</f>
        <v>1</v>
      </c>
    </row>
    <row r="163" customFormat="false" ht="15" hidden="false" customHeight="false" outlineLevel="0" collapsed="false">
      <c r="A163" s="6" t="n">
        <v>0</v>
      </c>
      <c r="B163" s="6" t="n">
        <v>161</v>
      </c>
      <c r="C163" s="6" t="s">
        <v>203</v>
      </c>
      <c r="D163" s="6" t="s">
        <v>204</v>
      </c>
      <c r="E163" s="6" t="s">
        <v>40</v>
      </c>
      <c r="F163" s="6" t="n">
        <v>1</v>
      </c>
      <c r="G163" s="6" t="n">
        <f aca="false">IF(F163=0,0,1)</f>
        <v>1</v>
      </c>
      <c r="H163" s="6" t="str">
        <f aca="false">IF(E163="RECOVERY","RECOVERY_START",E163)</f>
        <v>BASELINE_COMPATIBLE</v>
      </c>
      <c r="I163" s="6" t="str">
        <f aca="false">H164</f>
        <v>BASELINE_COMPATIBLE</v>
      </c>
      <c r="J163" s="6" t="n">
        <f aca="false">IF(AND(G163=1,G164=1),1,0)</f>
        <v>1</v>
      </c>
    </row>
    <row r="164" customFormat="false" ht="15" hidden="false" customHeight="false" outlineLevel="0" collapsed="false">
      <c r="A164" s="6" t="n">
        <v>0</v>
      </c>
      <c r="B164" s="6" t="n">
        <v>162</v>
      </c>
      <c r="C164" s="6" t="s">
        <v>204</v>
      </c>
      <c r="D164" s="6" t="s">
        <v>205</v>
      </c>
      <c r="E164" s="6" t="s">
        <v>40</v>
      </c>
      <c r="F164" s="6" t="n">
        <v>1</v>
      </c>
      <c r="G164" s="6" t="n">
        <f aca="false">IF(F164=0,0,1)</f>
        <v>1</v>
      </c>
      <c r="H164" s="6" t="str">
        <f aca="false">IF(E164="RECOVERY","RECOVERY_START",E164)</f>
        <v>BASELINE_COMPATIBLE</v>
      </c>
      <c r="I164" s="6" t="str">
        <f aca="false">H165</f>
        <v>BASELINE_COMPATIBLE</v>
      </c>
      <c r="J164" s="6" t="n">
        <f aca="false">IF(AND(G164=1,G165=1),1,0)</f>
        <v>0</v>
      </c>
    </row>
    <row r="165" customFormat="false" ht="15" hidden="false" customHeight="false" outlineLevel="0" collapsed="false">
      <c r="A165" s="6" t="n">
        <v>0</v>
      </c>
      <c r="B165" s="6" t="n">
        <v>163</v>
      </c>
      <c r="C165" s="6" t="s">
        <v>205</v>
      </c>
      <c r="D165" s="6" t="s">
        <v>206</v>
      </c>
      <c r="E165" s="6" t="s">
        <v>40</v>
      </c>
      <c r="F165" s="6" t="n">
        <v>0</v>
      </c>
      <c r="G165" s="6" t="n">
        <f aca="false">IF(F165=0,0,1)</f>
        <v>0</v>
      </c>
      <c r="H165" s="6" t="str">
        <f aca="false">IF(E165="RECOVERY","RECOVERY_START",E165)</f>
        <v>BASELINE_COMPATIBLE</v>
      </c>
      <c r="I165" s="6" t="str">
        <f aca="false">H166</f>
        <v>BASELINE_COMPATIBLE</v>
      </c>
      <c r="J165" s="6" t="n">
        <f aca="false">IF(AND(G165=1,G166=1),1,0)</f>
        <v>0</v>
      </c>
    </row>
    <row r="166" customFormat="false" ht="15" hidden="false" customHeight="false" outlineLevel="0" collapsed="false">
      <c r="A166" s="6" t="n">
        <v>0</v>
      </c>
      <c r="B166" s="6" t="n">
        <v>164</v>
      </c>
      <c r="C166" s="6" t="s">
        <v>206</v>
      </c>
      <c r="D166" s="6" t="s">
        <v>207</v>
      </c>
      <c r="E166" s="6" t="s">
        <v>40</v>
      </c>
      <c r="F166" s="6" t="n">
        <v>1</v>
      </c>
      <c r="G166" s="6" t="n">
        <f aca="false">IF(F166=0,0,1)</f>
        <v>1</v>
      </c>
      <c r="H166" s="6" t="str">
        <f aca="false">IF(E166="RECOVERY","RECOVERY_START",E166)</f>
        <v>BASELINE_COMPATIBLE</v>
      </c>
      <c r="I166" s="6" t="str">
        <f aca="false">H167</f>
        <v>BASELINE_COMPATIBLE</v>
      </c>
      <c r="J166" s="6" t="n">
        <f aca="false">IF(AND(G166=1,G167=1),1,0)</f>
        <v>1</v>
      </c>
    </row>
    <row r="167" customFormat="false" ht="15" hidden="false" customHeight="false" outlineLevel="0" collapsed="false">
      <c r="A167" s="6" t="n">
        <v>0</v>
      </c>
      <c r="B167" s="6" t="n">
        <v>165</v>
      </c>
      <c r="C167" s="6" t="s">
        <v>207</v>
      </c>
      <c r="D167" s="6" t="s">
        <v>208</v>
      </c>
      <c r="E167" s="6" t="s">
        <v>40</v>
      </c>
      <c r="F167" s="6" t="n">
        <v>1</v>
      </c>
      <c r="G167" s="6" t="n">
        <f aca="false">IF(F167=0,0,1)</f>
        <v>1</v>
      </c>
      <c r="H167" s="6" t="str">
        <f aca="false">IF(E167="RECOVERY","RECOVERY_START",E167)</f>
        <v>BASELINE_COMPATIBLE</v>
      </c>
      <c r="I167" s="6" t="str">
        <f aca="false">H168</f>
        <v>BASELINE_COMPATIBLE</v>
      </c>
      <c r="J167" s="6" t="n">
        <f aca="false">IF(AND(G167=1,G168=1),1,0)</f>
        <v>1</v>
      </c>
    </row>
    <row r="168" customFormat="false" ht="15" hidden="false" customHeight="false" outlineLevel="0" collapsed="false">
      <c r="A168" s="6" t="n">
        <v>0</v>
      </c>
      <c r="B168" s="6" t="n">
        <v>166</v>
      </c>
      <c r="C168" s="6" t="s">
        <v>208</v>
      </c>
      <c r="D168" s="6" t="s">
        <v>209</v>
      </c>
      <c r="E168" s="6" t="s">
        <v>40</v>
      </c>
      <c r="F168" s="6" t="n">
        <v>1</v>
      </c>
      <c r="G168" s="6" t="n">
        <f aca="false">IF(F168=0,0,1)</f>
        <v>1</v>
      </c>
      <c r="H168" s="6" t="str">
        <f aca="false">IF(E168="RECOVERY","RECOVERY_START",E168)</f>
        <v>BASELINE_COMPATIBLE</v>
      </c>
      <c r="I168" s="6" t="str">
        <f aca="false">H169</f>
        <v>BASELINE_COMPATIBLE</v>
      </c>
      <c r="J168" s="6" t="n">
        <f aca="false">IF(AND(G168=1,G169=1),1,0)</f>
        <v>1</v>
      </c>
    </row>
    <row r="169" customFormat="false" ht="15" hidden="false" customHeight="false" outlineLevel="0" collapsed="false">
      <c r="A169" s="6" t="n">
        <v>0</v>
      </c>
      <c r="B169" s="6" t="n">
        <v>167</v>
      </c>
      <c r="C169" s="6" t="s">
        <v>209</v>
      </c>
      <c r="D169" s="6" t="s">
        <v>210</v>
      </c>
      <c r="E169" s="6" t="s">
        <v>40</v>
      </c>
      <c r="F169" s="6" t="n">
        <v>1</v>
      </c>
      <c r="G169" s="6" t="n">
        <f aca="false">IF(F169=0,0,1)</f>
        <v>1</v>
      </c>
      <c r="H169" s="6" t="str">
        <f aca="false">IF(E169="RECOVERY","RECOVERY_START",E169)</f>
        <v>BASELINE_COMPATIBLE</v>
      </c>
      <c r="I169" s="6" t="str">
        <f aca="false">H170</f>
        <v>BASELINE_COMPATIBLE</v>
      </c>
      <c r="J169" s="6" t="n">
        <f aca="false">IF(AND(G169=1,G170=1),1,0)</f>
        <v>1</v>
      </c>
    </row>
    <row r="170" customFormat="false" ht="15" hidden="false" customHeight="false" outlineLevel="0" collapsed="false">
      <c r="A170" s="6" t="n">
        <v>0</v>
      </c>
      <c r="B170" s="6" t="n">
        <v>168</v>
      </c>
      <c r="C170" s="6" t="s">
        <v>210</v>
      </c>
      <c r="D170" s="6" t="s">
        <v>211</v>
      </c>
      <c r="E170" s="6" t="s">
        <v>40</v>
      </c>
      <c r="F170" s="6" t="n">
        <v>1</v>
      </c>
      <c r="G170" s="6" t="n">
        <f aca="false">IF(F170=0,0,1)</f>
        <v>1</v>
      </c>
      <c r="H170" s="6" t="str">
        <f aca="false">IF(E170="RECOVERY","RECOVERY_START",E170)</f>
        <v>BASELINE_COMPATIBLE</v>
      </c>
      <c r="I170" s="6" t="str">
        <f aca="false">H171</f>
        <v>BASELINE_COMPATIBLE</v>
      </c>
      <c r="J170" s="6" t="n">
        <f aca="false">IF(AND(G170=1,G171=1),1,0)</f>
        <v>1</v>
      </c>
    </row>
    <row r="171" customFormat="false" ht="15" hidden="false" customHeight="false" outlineLevel="0" collapsed="false">
      <c r="A171" s="6" t="n">
        <v>0</v>
      </c>
      <c r="B171" s="6" t="n">
        <v>169</v>
      </c>
      <c r="C171" s="6" t="s">
        <v>211</v>
      </c>
      <c r="D171" s="6" t="s">
        <v>212</v>
      </c>
      <c r="E171" s="6" t="s">
        <v>40</v>
      </c>
      <c r="F171" s="6" t="n">
        <v>1</v>
      </c>
      <c r="G171" s="6" t="n">
        <f aca="false">IF(F171=0,0,1)</f>
        <v>1</v>
      </c>
      <c r="H171" s="6" t="str">
        <f aca="false">IF(E171="RECOVERY","RECOVERY_START",E171)</f>
        <v>BASELINE_COMPATIBLE</v>
      </c>
      <c r="I171" s="6" t="str">
        <f aca="false">H172</f>
        <v>BASELINE_COMPATIBLE</v>
      </c>
      <c r="J171" s="6" t="n">
        <f aca="false">IF(AND(G171=1,G172=1),1,0)</f>
        <v>1</v>
      </c>
    </row>
    <row r="172" customFormat="false" ht="15" hidden="false" customHeight="false" outlineLevel="0" collapsed="false">
      <c r="A172" s="6" t="n">
        <v>0</v>
      </c>
      <c r="B172" s="6" t="n">
        <v>170</v>
      </c>
      <c r="C172" s="6" t="s">
        <v>212</v>
      </c>
      <c r="D172" s="6" t="s">
        <v>213</v>
      </c>
      <c r="E172" s="6" t="s">
        <v>40</v>
      </c>
      <c r="F172" s="6" t="n">
        <v>1</v>
      </c>
      <c r="G172" s="6" t="n">
        <f aca="false">IF(F172=0,0,1)</f>
        <v>1</v>
      </c>
      <c r="H172" s="6" t="str">
        <f aca="false">IF(E172="RECOVERY","RECOVERY_START",E172)</f>
        <v>BASELINE_COMPATIBLE</v>
      </c>
      <c r="I172" s="6" t="str">
        <f aca="false">H173</f>
        <v>BASELINE_COMPATIBLE</v>
      </c>
      <c r="J172" s="6" t="n">
        <f aca="false">IF(AND(G172=1,G173=1),1,0)</f>
        <v>1</v>
      </c>
    </row>
    <row r="173" customFormat="false" ht="15" hidden="false" customHeight="false" outlineLevel="0" collapsed="false">
      <c r="A173" s="6" t="n">
        <v>0</v>
      </c>
      <c r="B173" s="6" t="n">
        <v>171</v>
      </c>
      <c r="C173" s="6" t="s">
        <v>213</v>
      </c>
      <c r="D173" s="6" t="s">
        <v>214</v>
      </c>
      <c r="E173" s="6" t="s">
        <v>40</v>
      </c>
      <c r="F173" s="6" t="n">
        <v>1</v>
      </c>
      <c r="G173" s="6" t="n">
        <f aca="false">IF(F173=0,0,1)</f>
        <v>1</v>
      </c>
      <c r="H173" s="6" t="str">
        <f aca="false">IF(E173="RECOVERY","RECOVERY_START",E173)</f>
        <v>BASELINE_COMPATIBLE</v>
      </c>
      <c r="I173" s="6" t="str">
        <f aca="false">H174</f>
        <v>BASELINE_COMPATIBLE</v>
      </c>
      <c r="J173" s="6" t="n">
        <f aca="false">IF(AND(G173=1,G174=1),1,0)</f>
        <v>1</v>
      </c>
    </row>
    <row r="174" customFormat="false" ht="15" hidden="false" customHeight="false" outlineLevel="0" collapsed="false">
      <c r="A174" s="6" t="n">
        <v>0</v>
      </c>
      <c r="B174" s="6" t="n">
        <v>172</v>
      </c>
      <c r="C174" s="6" t="s">
        <v>214</v>
      </c>
      <c r="D174" s="6" t="s">
        <v>215</v>
      </c>
      <c r="E174" s="6" t="s">
        <v>40</v>
      </c>
      <c r="F174" s="6" t="n">
        <v>1</v>
      </c>
      <c r="G174" s="6" t="n">
        <f aca="false">IF(F174=0,0,1)</f>
        <v>1</v>
      </c>
      <c r="H174" s="6" t="str">
        <f aca="false">IF(E174="RECOVERY","RECOVERY_START",E174)</f>
        <v>BASELINE_COMPATIBLE</v>
      </c>
      <c r="I174" s="6" t="str">
        <f aca="false">H175</f>
        <v>BASELINE_COMPATIBLE</v>
      </c>
      <c r="J174" s="6" t="n">
        <f aca="false">IF(AND(G174=1,G175=1),1,0)</f>
        <v>1</v>
      </c>
    </row>
    <row r="175" customFormat="false" ht="15" hidden="false" customHeight="false" outlineLevel="0" collapsed="false">
      <c r="A175" s="6" t="n">
        <v>0</v>
      </c>
      <c r="B175" s="6" t="n">
        <v>173</v>
      </c>
      <c r="C175" s="6" t="s">
        <v>215</v>
      </c>
      <c r="D175" s="6" t="s">
        <v>216</v>
      </c>
      <c r="E175" s="6" t="s">
        <v>40</v>
      </c>
      <c r="F175" s="6" t="n">
        <v>1</v>
      </c>
      <c r="G175" s="6" t="n">
        <f aca="false">IF(F175=0,0,1)</f>
        <v>1</v>
      </c>
      <c r="H175" s="6" t="str">
        <f aca="false">IF(E175="RECOVERY","RECOVERY_START",E175)</f>
        <v>BASELINE_COMPATIBLE</v>
      </c>
      <c r="I175" s="6" t="str">
        <f aca="false">H176</f>
        <v>BASELINE_COMPATIBLE</v>
      </c>
      <c r="J175" s="6" t="n">
        <f aca="false">IF(AND(G175=1,G176=1),1,0)</f>
        <v>1</v>
      </c>
    </row>
    <row r="176" customFormat="false" ht="15" hidden="false" customHeight="false" outlineLevel="0" collapsed="false">
      <c r="A176" s="6" t="n">
        <v>0</v>
      </c>
      <c r="B176" s="6" t="n">
        <v>174</v>
      </c>
      <c r="C176" s="6" t="s">
        <v>216</v>
      </c>
      <c r="D176" s="6" t="s">
        <v>217</v>
      </c>
      <c r="E176" s="6" t="s">
        <v>40</v>
      </c>
      <c r="F176" s="6" t="n">
        <v>1</v>
      </c>
      <c r="G176" s="6" t="n">
        <f aca="false">IF(F176=0,0,1)</f>
        <v>1</v>
      </c>
      <c r="H176" s="6" t="str">
        <f aca="false">IF(E176="RECOVERY","RECOVERY_START",E176)</f>
        <v>BASELINE_COMPATIBLE</v>
      </c>
      <c r="I176" s="6" t="str">
        <f aca="false">H177</f>
        <v>BASELINE_COMPATIBLE</v>
      </c>
      <c r="J176" s="6" t="n">
        <f aca="false">IF(AND(G176=1,G177=1),1,0)</f>
        <v>1</v>
      </c>
    </row>
    <row r="177" customFormat="false" ht="15" hidden="false" customHeight="false" outlineLevel="0" collapsed="false">
      <c r="A177" s="6" t="n">
        <v>0</v>
      </c>
      <c r="B177" s="6" t="n">
        <v>175</v>
      </c>
      <c r="C177" s="6" t="s">
        <v>217</v>
      </c>
      <c r="D177" s="6" t="s">
        <v>218</v>
      </c>
      <c r="E177" s="6" t="s">
        <v>40</v>
      </c>
      <c r="F177" s="6" t="n">
        <v>1</v>
      </c>
      <c r="G177" s="6" t="n">
        <f aca="false">IF(F177=0,0,1)</f>
        <v>1</v>
      </c>
      <c r="H177" s="6" t="str">
        <f aca="false">IF(E177="RECOVERY","RECOVERY_START",E177)</f>
        <v>BASELINE_COMPATIBLE</v>
      </c>
      <c r="I177" s="6" t="str">
        <f aca="false">H178</f>
        <v>BASELINE_COMPATIBLE</v>
      </c>
      <c r="J177" s="6" t="n">
        <f aca="false">IF(AND(G177=1,G178=1),1,0)</f>
        <v>1</v>
      </c>
    </row>
    <row r="178" customFormat="false" ht="15" hidden="false" customHeight="false" outlineLevel="0" collapsed="false">
      <c r="A178" s="6" t="n">
        <v>0</v>
      </c>
      <c r="B178" s="6" t="n">
        <v>176</v>
      </c>
      <c r="C178" s="6" t="s">
        <v>218</v>
      </c>
      <c r="D178" s="6" t="s">
        <v>219</v>
      </c>
      <c r="E178" s="6" t="s">
        <v>40</v>
      </c>
      <c r="F178" s="6" t="n">
        <v>1</v>
      </c>
      <c r="G178" s="6" t="n">
        <f aca="false">IF(F178=0,0,1)</f>
        <v>1</v>
      </c>
      <c r="H178" s="6" t="str">
        <f aca="false">IF(E178="RECOVERY","RECOVERY_START",E178)</f>
        <v>BASELINE_COMPATIBLE</v>
      </c>
      <c r="I178" s="6" t="str">
        <f aca="false">H179</f>
        <v>BASELINE_COMPATIBLE</v>
      </c>
      <c r="J178" s="6" t="n">
        <f aca="false">IF(AND(G178=1,G179=1),1,0)</f>
        <v>1</v>
      </c>
    </row>
    <row r="179" customFormat="false" ht="15" hidden="false" customHeight="false" outlineLevel="0" collapsed="false">
      <c r="A179" s="6" t="n">
        <v>0</v>
      </c>
      <c r="B179" s="6" t="n">
        <v>177</v>
      </c>
      <c r="C179" s="6" t="s">
        <v>219</v>
      </c>
      <c r="D179" s="6" t="s">
        <v>220</v>
      </c>
      <c r="E179" s="6" t="s">
        <v>40</v>
      </c>
      <c r="F179" s="6" t="n">
        <v>1</v>
      </c>
      <c r="G179" s="6" t="n">
        <f aca="false">IF(F179=0,0,1)</f>
        <v>1</v>
      </c>
      <c r="H179" s="6" t="str">
        <f aca="false">IF(E179="RECOVERY","RECOVERY_START",E179)</f>
        <v>BASELINE_COMPATIBLE</v>
      </c>
      <c r="I179" s="6" t="str">
        <f aca="false">H180</f>
        <v>BASELINE_COMPATIBLE</v>
      </c>
      <c r="J179" s="6" t="n">
        <f aca="false">IF(AND(G179=1,G180=1),1,0)</f>
        <v>1</v>
      </c>
    </row>
    <row r="180" customFormat="false" ht="15" hidden="false" customHeight="false" outlineLevel="0" collapsed="false">
      <c r="A180" s="6" t="n">
        <v>0</v>
      </c>
      <c r="B180" s="6" t="n">
        <v>178</v>
      </c>
      <c r="C180" s="6" t="s">
        <v>220</v>
      </c>
      <c r="D180" s="6" t="s">
        <v>221</v>
      </c>
      <c r="E180" s="6" t="s">
        <v>40</v>
      </c>
      <c r="F180" s="6" t="n">
        <v>1</v>
      </c>
      <c r="G180" s="6" t="n">
        <f aca="false">IF(F180=0,0,1)</f>
        <v>1</v>
      </c>
      <c r="H180" s="6" t="str">
        <f aca="false">IF(E180="RECOVERY","RECOVERY_START",E180)</f>
        <v>BASELINE_COMPATIBLE</v>
      </c>
      <c r="I180" s="6" t="str">
        <f aca="false">H181</f>
        <v>BASELINE_COMPATIBLE</v>
      </c>
      <c r="J180" s="6" t="n">
        <f aca="false">IF(AND(G180=1,G181=1),1,0)</f>
        <v>1</v>
      </c>
    </row>
    <row r="181" customFormat="false" ht="15" hidden="false" customHeight="false" outlineLevel="0" collapsed="false">
      <c r="A181" s="6" t="n">
        <v>0</v>
      </c>
      <c r="B181" s="6" t="n">
        <v>179</v>
      </c>
      <c r="C181" s="6" t="s">
        <v>221</v>
      </c>
      <c r="D181" s="6" t="s">
        <v>222</v>
      </c>
      <c r="E181" s="6" t="s">
        <v>40</v>
      </c>
      <c r="F181" s="6" t="n">
        <v>1</v>
      </c>
      <c r="G181" s="6" t="n">
        <f aca="false">IF(F181=0,0,1)</f>
        <v>1</v>
      </c>
      <c r="H181" s="6" t="str">
        <f aca="false">IF(E181="RECOVERY","RECOVERY_START",E181)</f>
        <v>BASELINE_COMPATIBLE</v>
      </c>
      <c r="I181" s="6" t="str">
        <f aca="false">H182</f>
        <v>BASELINE_COMPATIBLE</v>
      </c>
      <c r="J181" s="6" t="n">
        <f aca="false">IF(AND(G181=1,G182=1),1,0)</f>
        <v>1</v>
      </c>
    </row>
    <row r="182" customFormat="false" ht="15" hidden="false" customHeight="false" outlineLevel="0" collapsed="false">
      <c r="A182" s="6" t="n">
        <v>0</v>
      </c>
      <c r="B182" s="6" t="n">
        <v>180</v>
      </c>
      <c r="C182" s="6" t="s">
        <v>222</v>
      </c>
      <c r="D182" s="6" t="s">
        <v>223</v>
      </c>
      <c r="E182" s="6" t="s">
        <v>40</v>
      </c>
      <c r="F182" s="6" t="n">
        <v>1</v>
      </c>
      <c r="G182" s="6" t="n">
        <f aca="false">IF(F182=0,0,1)</f>
        <v>1</v>
      </c>
      <c r="H182" s="6" t="str">
        <f aca="false">IF(E182="RECOVERY","RECOVERY_START",E182)</f>
        <v>BASELINE_COMPATIBLE</v>
      </c>
      <c r="I182" s="6" t="str">
        <f aca="false">H183</f>
        <v>BASELINE_COMPATIBLE</v>
      </c>
      <c r="J182" s="6" t="n">
        <f aca="false">IF(AND(G182=1,G183=1),1,0)</f>
        <v>1</v>
      </c>
    </row>
    <row r="183" customFormat="false" ht="15" hidden="false" customHeight="false" outlineLevel="0" collapsed="false">
      <c r="A183" s="6" t="n">
        <v>0</v>
      </c>
      <c r="B183" s="6" t="n">
        <v>181</v>
      </c>
      <c r="C183" s="6" t="s">
        <v>223</v>
      </c>
      <c r="D183" s="6" t="s">
        <v>224</v>
      </c>
      <c r="E183" s="6" t="s">
        <v>40</v>
      </c>
      <c r="F183" s="6" t="n">
        <v>1</v>
      </c>
      <c r="G183" s="6" t="n">
        <f aca="false">IF(F183=0,0,1)</f>
        <v>1</v>
      </c>
      <c r="H183" s="6" t="str">
        <f aca="false">IF(E183="RECOVERY","RECOVERY_START",E183)</f>
        <v>BASELINE_COMPATIBLE</v>
      </c>
      <c r="I183" s="6" t="str">
        <f aca="false">H184</f>
        <v>BASELINE_COMPATIBLE</v>
      </c>
      <c r="J183" s="6" t="n">
        <f aca="false">IF(AND(G183=1,G184=1),1,0)</f>
        <v>1</v>
      </c>
    </row>
    <row r="184" customFormat="false" ht="15" hidden="false" customHeight="false" outlineLevel="0" collapsed="false">
      <c r="A184" s="6" t="n">
        <v>0</v>
      </c>
      <c r="B184" s="6" t="n">
        <v>182</v>
      </c>
      <c r="C184" s="6" t="s">
        <v>224</v>
      </c>
      <c r="D184" s="6" t="s">
        <v>225</v>
      </c>
      <c r="E184" s="6" t="s">
        <v>40</v>
      </c>
      <c r="F184" s="6" t="n">
        <v>1</v>
      </c>
      <c r="G184" s="6" t="n">
        <f aca="false">IF(F184=0,0,1)</f>
        <v>1</v>
      </c>
      <c r="H184" s="6" t="str">
        <f aca="false">IF(E184="RECOVERY","RECOVERY_START",E184)</f>
        <v>BASELINE_COMPATIBLE</v>
      </c>
      <c r="I184" s="6" t="str">
        <f aca="false">H185</f>
        <v>BASELINE_COMPATIBLE</v>
      </c>
      <c r="J184" s="6" t="n">
        <f aca="false">IF(AND(G184=1,G185=1),1,0)</f>
        <v>1</v>
      </c>
    </row>
    <row r="185" customFormat="false" ht="15" hidden="false" customHeight="false" outlineLevel="0" collapsed="false">
      <c r="A185" s="6" t="n">
        <v>0</v>
      </c>
      <c r="B185" s="6" t="n">
        <v>183</v>
      </c>
      <c r="C185" s="6" t="s">
        <v>225</v>
      </c>
      <c r="D185" s="6" t="s">
        <v>226</v>
      </c>
      <c r="E185" s="6" t="s">
        <v>40</v>
      </c>
      <c r="F185" s="6" t="n">
        <v>1</v>
      </c>
      <c r="G185" s="6" t="n">
        <f aca="false">IF(F185=0,0,1)</f>
        <v>1</v>
      </c>
      <c r="H185" s="6" t="str">
        <f aca="false">IF(E185="RECOVERY","RECOVERY_START",E185)</f>
        <v>BASELINE_COMPATIBLE</v>
      </c>
      <c r="I185" s="6" t="str">
        <f aca="false">H186</f>
        <v>BASELINE_COMPATIBLE</v>
      </c>
      <c r="J185" s="6" t="n">
        <f aca="false">IF(AND(G185=1,G186=1),1,0)</f>
        <v>1</v>
      </c>
    </row>
    <row r="186" customFormat="false" ht="15" hidden="false" customHeight="false" outlineLevel="0" collapsed="false">
      <c r="A186" s="6" t="n">
        <v>0</v>
      </c>
      <c r="B186" s="6" t="n">
        <v>184</v>
      </c>
      <c r="C186" s="6" t="s">
        <v>226</v>
      </c>
      <c r="D186" s="6" t="s">
        <v>227</v>
      </c>
      <c r="E186" s="6" t="s">
        <v>40</v>
      </c>
      <c r="F186" s="6" t="n">
        <v>1</v>
      </c>
      <c r="G186" s="6" t="n">
        <f aca="false">IF(F186=0,0,1)</f>
        <v>1</v>
      </c>
      <c r="H186" s="6" t="str">
        <f aca="false">IF(E186="RECOVERY","RECOVERY_START",E186)</f>
        <v>BASELINE_COMPATIBLE</v>
      </c>
      <c r="I186" s="6" t="str">
        <f aca="false">H187</f>
        <v>BASELINE_COMPATIBLE</v>
      </c>
      <c r="J186" s="6" t="n">
        <f aca="false">IF(AND(G186=1,G187=1),1,0)</f>
        <v>1</v>
      </c>
    </row>
    <row r="187" customFormat="false" ht="15" hidden="false" customHeight="false" outlineLevel="0" collapsed="false">
      <c r="A187" s="6" t="n">
        <v>0</v>
      </c>
      <c r="B187" s="6" t="n">
        <v>185</v>
      </c>
      <c r="C187" s="6" t="s">
        <v>227</v>
      </c>
      <c r="D187" s="6" t="s">
        <v>228</v>
      </c>
      <c r="E187" s="6" t="s">
        <v>40</v>
      </c>
      <c r="F187" s="6" t="n">
        <v>1</v>
      </c>
      <c r="G187" s="6" t="n">
        <f aca="false">IF(F187=0,0,1)</f>
        <v>1</v>
      </c>
      <c r="H187" s="6" t="str">
        <f aca="false">IF(E187="RECOVERY","RECOVERY_START",E187)</f>
        <v>BASELINE_COMPATIBLE</v>
      </c>
      <c r="I187" s="6" t="str">
        <f aca="false">H188</f>
        <v>BASELINE_COMPATIBLE</v>
      </c>
      <c r="J187" s="6" t="n">
        <f aca="false">IF(AND(G187=1,G188=1),1,0)</f>
        <v>1</v>
      </c>
    </row>
    <row r="188" customFormat="false" ht="15" hidden="false" customHeight="false" outlineLevel="0" collapsed="false">
      <c r="A188" s="6" t="n">
        <v>0</v>
      </c>
      <c r="B188" s="6" t="n">
        <v>186</v>
      </c>
      <c r="C188" s="6" t="s">
        <v>228</v>
      </c>
      <c r="D188" s="6" t="s">
        <v>229</v>
      </c>
      <c r="E188" s="6" t="s">
        <v>40</v>
      </c>
      <c r="F188" s="6" t="n">
        <v>1</v>
      </c>
      <c r="G188" s="6" t="n">
        <f aca="false">IF(F188=0,0,1)</f>
        <v>1</v>
      </c>
      <c r="H188" s="6" t="str">
        <f aca="false">IF(E188="RECOVERY","RECOVERY_START",E188)</f>
        <v>BASELINE_COMPATIBLE</v>
      </c>
      <c r="I188" s="6" t="str">
        <f aca="false">H189</f>
        <v>BASELINE_COMPATIBLE</v>
      </c>
      <c r="J188" s="6" t="n">
        <f aca="false">IF(AND(G188=1,G189=1),1,0)</f>
        <v>1</v>
      </c>
    </row>
    <row r="189" customFormat="false" ht="15" hidden="false" customHeight="false" outlineLevel="0" collapsed="false">
      <c r="A189" s="6" t="n">
        <v>0</v>
      </c>
      <c r="B189" s="6" t="n">
        <v>187</v>
      </c>
      <c r="C189" s="6" t="s">
        <v>229</v>
      </c>
      <c r="D189" s="6" t="s">
        <v>230</v>
      </c>
      <c r="E189" s="6" t="s">
        <v>40</v>
      </c>
      <c r="F189" s="6" t="n">
        <v>1</v>
      </c>
      <c r="G189" s="6" t="n">
        <f aca="false">IF(F189=0,0,1)</f>
        <v>1</v>
      </c>
      <c r="H189" s="6" t="str">
        <f aca="false">IF(E189="RECOVERY","RECOVERY_START",E189)</f>
        <v>BASELINE_COMPATIBLE</v>
      </c>
      <c r="I189" s="6" t="str">
        <f aca="false">H190</f>
        <v>BASELINE_COMPATIBLE</v>
      </c>
      <c r="J189" s="6" t="n">
        <f aca="false">IF(AND(G189=1,G190=1),1,0)</f>
        <v>1</v>
      </c>
    </row>
    <row r="190" customFormat="false" ht="15" hidden="false" customHeight="false" outlineLevel="0" collapsed="false">
      <c r="A190" s="6" t="n">
        <v>0</v>
      </c>
      <c r="B190" s="6" t="n">
        <v>188</v>
      </c>
      <c r="C190" s="6" t="s">
        <v>230</v>
      </c>
      <c r="D190" s="6" t="s">
        <v>231</v>
      </c>
      <c r="E190" s="6" t="s">
        <v>40</v>
      </c>
      <c r="F190" s="6" t="n">
        <v>1</v>
      </c>
      <c r="G190" s="6" t="n">
        <f aca="false">IF(F190=0,0,1)</f>
        <v>1</v>
      </c>
      <c r="H190" s="6" t="str">
        <f aca="false">IF(E190="RECOVERY","RECOVERY_START",E190)</f>
        <v>BASELINE_COMPATIBLE</v>
      </c>
      <c r="I190" s="6" t="str">
        <f aca="false">H191</f>
        <v>BASELINE_COMPATIBLE</v>
      </c>
      <c r="J190" s="6" t="n">
        <f aca="false">IF(AND(G190=1,G191=1),1,0)</f>
        <v>1</v>
      </c>
    </row>
    <row r="191" customFormat="false" ht="15" hidden="false" customHeight="false" outlineLevel="0" collapsed="false">
      <c r="A191" s="6" t="n">
        <v>0</v>
      </c>
      <c r="B191" s="6" t="n">
        <v>189</v>
      </c>
      <c r="C191" s="6" t="s">
        <v>231</v>
      </c>
      <c r="D191" s="6" t="s">
        <v>232</v>
      </c>
      <c r="E191" s="6" t="s">
        <v>40</v>
      </c>
      <c r="F191" s="6" t="n">
        <v>1</v>
      </c>
      <c r="G191" s="6" t="n">
        <f aca="false">IF(F191=0,0,1)</f>
        <v>1</v>
      </c>
      <c r="H191" s="6" t="str">
        <f aca="false">IF(E191="RECOVERY","RECOVERY_START",E191)</f>
        <v>BASELINE_COMPATIBLE</v>
      </c>
      <c r="I191" s="6" t="str">
        <f aca="false">H192</f>
        <v>BASELINE_COMPATIBLE</v>
      </c>
      <c r="J191" s="6" t="n">
        <f aca="false">IF(AND(G191=1,G192=1),1,0)</f>
        <v>1</v>
      </c>
    </row>
    <row r="192" customFormat="false" ht="15" hidden="false" customHeight="false" outlineLevel="0" collapsed="false">
      <c r="A192" s="6" t="n">
        <v>0</v>
      </c>
      <c r="B192" s="6" t="n">
        <v>190</v>
      </c>
      <c r="C192" s="6" t="s">
        <v>232</v>
      </c>
      <c r="D192" s="6" t="s">
        <v>233</v>
      </c>
      <c r="E192" s="6" t="s">
        <v>40</v>
      </c>
      <c r="F192" s="6" t="n">
        <v>1</v>
      </c>
      <c r="G192" s="6" t="n">
        <f aca="false">IF(F192=0,0,1)</f>
        <v>1</v>
      </c>
      <c r="H192" s="6" t="str">
        <f aca="false">IF(E192="RECOVERY","RECOVERY_START",E192)</f>
        <v>BASELINE_COMPATIBLE</v>
      </c>
      <c r="I192" s="6" t="str">
        <f aca="false">H193</f>
        <v>BASELINE_COMPATIBLE</v>
      </c>
      <c r="J192" s="6" t="n">
        <f aca="false">IF(AND(G192=1,G193=1),1,0)</f>
        <v>1</v>
      </c>
    </row>
    <row r="193" customFormat="false" ht="15" hidden="false" customHeight="false" outlineLevel="0" collapsed="false">
      <c r="A193" s="6" t="n">
        <v>0</v>
      </c>
      <c r="B193" s="6" t="n">
        <v>191</v>
      </c>
      <c r="C193" s="6" t="s">
        <v>233</v>
      </c>
      <c r="D193" s="6" t="s">
        <v>234</v>
      </c>
      <c r="E193" s="6" t="s">
        <v>40</v>
      </c>
      <c r="F193" s="6" t="n">
        <v>1</v>
      </c>
      <c r="G193" s="6" t="n">
        <f aca="false">IF(F193=0,0,1)</f>
        <v>1</v>
      </c>
      <c r="H193" s="6" t="str">
        <f aca="false">IF(E193="RECOVERY","RECOVERY_START",E193)</f>
        <v>BASELINE_COMPATIBLE</v>
      </c>
      <c r="I193" s="6" t="str">
        <f aca="false">H194</f>
        <v>BASELINE_COMPATIBLE</v>
      </c>
      <c r="J193" s="6" t="n">
        <f aca="false">IF(AND(G193=1,G194=1),1,0)</f>
        <v>1</v>
      </c>
    </row>
    <row r="194" customFormat="false" ht="15" hidden="false" customHeight="false" outlineLevel="0" collapsed="false">
      <c r="A194" s="6" t="n">
        <v>0</v>
      </c>
      <c r="B194" s="6" t="n">
        <v>192</v>
      </c>
      <c r="C194" s="6" t="s">
        <v>234</v>
      </c>
      <c r="D194" s="6" t="s">
        <v>235</v>
      </c>
      <c r="E194" s="6" t="s">
        <v>40</v>
      </c>
      <c r="F194" s="6" t="n">
        <v>1</v>
      </c>
      <c r="G194" s="6" t="n">
        <f aca="false">IF(F194=0,0,1)</f>
        <v>1</v>
      </c>
      <c r="H194" s="6" t="str">
        <f aca="false">IF(E194="RECOVERY","RECOVERY_START",E194)</f>
        <v>BASELINE_COMPATIBLE</v>
      </c>
      <c r="I194" s="6" t="str">
        <f aca="false">H195</f>
        <v>BASELINE_COMPATIBLE</v>
      </c>
      <c r="J194" s="6" t="n">
        <f aca="false">IF(AND(G194=1,G195=1),1,0)</f>
        <v>1</v>
      </c>
    </row>
    <row r="195" customFormat="false" ht="15" hidden="false" customHeight="false" outlineLevel="0" collapsed="false">
      <c r="A195" s="6" t="n">
        <v>0</v>
      </c>
      <c r="B195" s="6" t="n">
        <v>193</v>
      </c>
      <c r="C195" s="6" t="s">
        <v>235</v>
      </c>
      <c r="D195" s="6" t="s">
        <v>236</v>
      </c>
      <c r="E195" s="6" t="s">
        <v>40</v>
      </c>
      <c r="F195" s="6" t="n">
        <v>1</v>
      </c>
      <c r="G195" s="6" t="n">
        <f aca="false">IF(F195=0,0,1)</f>
        <v>1</v>
      </c>
      <c r="H195" s="6" t="str">
        <f aca="false">IF(E195="RECOVERY","RECOVERY_START",E195)</f>
        <v>BASELINE_COMPATIBLE</v>
      </c>
      <c r="I195" s="6" t="str">
        <f aca="false">H196</f>
        <v>BASELINE_COMPATIBLE</v>
      </c>
      <c r="J195" s="6" t="n">
        <f aca="false">IF(AND(G195=1,G196=1),1,0)</f>
        <v>1</v>
      </c>
    </row>
    <row r="196" customFormat="false" ht="15" hidden="false" customHeight="false" outlineLevel="0" collapsed="false">
      <c r="A196" s="6" t="n">
        <v>0</v>
      </c>
      <c r="B196" s="6" t="n">
        <v>194</v>
      </c>
      <c r="C196" s="6" t="s">
        <v>236</v>
      </c>
      <c r="D196" s="6" t="s">
        <v>237</v>
      </c>
      <c r="E196" s="6" t="s">
        <v>40</v>
      </c>
      <c r="F196" s="6" t="n">
        <v>1</v>
      </c>
      <c r="G196" s="6" t="n">
        <f aca="false">IF(F196=0,0,1)</f>
        <v>1</v>
      </c>
      <c r="H196" s="6" t="str">
        <f aca="false">IF(E196="RECOVERY","RECOVERY_START",E196)</f>
        <v>BASELINE_COMPATIBLE</v>
      </c>
      <c r="I196" s="6" t="str">
        <f aca="false">H197</f>
        <v>BASELINE_COMPATIBLE</v>
      </c>
      <c r="J196" s="6" t="n">
        <f aca="false">IF(AND(G196=1,G197=1),1,0)</f>
        <v>1</v>
      </c>
    </row>
    <row r="197" customFormat="false" ht="15" hidden="false" customHeight="false" outlineLevel="0" collapsed="false">
      <c r="A197" s="6" t="n">
        <v>0</v>
      </c>
      <c r="B197" s="6" t="n">
        <v>195</v>
      </c>
      <c r="C197" s="6" t="s">
        <v>237</v>
      </c>
      <c r="D197" s="6" t="s">
        <v>238</v>
      </c>
      <c r="E197" s="6" t="s">
        <v>40</v>
      </c>
      <c r="F197" s="6" t="n">
        <v>1</v>
      </c>
      <c r="G197" s="6" t="n">
        <f aca="false">IF(F197=0,0,1)</f>
        <v>1</v>
      </c>
      <c r="H197" s="6" t="str">
        <f aca="false">IF(E197="RECOVERY","RECOVERY_START",E197)</f>
        <v>BASELINE_COMPATIBLE</v>
      </c>
      <c r="I197" s="6"/>
      <c r="J197" s="6" t="n">
        <v>0</v>
      </c>
    </row>
    <row r="198" customFormat="false" ht="15" hidden="false" customHeight="false" outlineLevel="0" collapsed="false">
      <c r="A198" s="6" t="n">
        <v>1</v>
      </c>
      <c r="B198" s="6" t="n">
        <v>0</v>
      </c>
      <c r="C198" s="6" t="s">
        <v>69</v>
      </c>
      <c r="D198" s="6" t="s">
        <v>239</v>
      </c>
      <c r="E198" s="6" t="s">
        <v>240</v>
      </c>
      <c r="F198" s="6" t="n">
        <v>1</v>
      </c>
      <c r="G198" s="6" t="n">
        <f aca="false">IF(F198=0,0,1)</f>
        <v>1</v>
      </c>
      <c r="H198" s="6" t="str">
        <f aca="false">IF(E198="RECOVERY","RECOVERY_START",E198)</f>
        <v>DEVIATION_CANDIDATE</v>
      </c>
      <c r="I198" s="6" t="str">
        <f aca="false">H199</f>
        <v>PERSISTENT_DEVIATION</v>
      </c>
      <c r="J198" s="6" t="n">
        <f aca="false">IF(AND(G198=1,G199=1),1,0)</f>
        <v>1</v>
      </c>
    </row>
    <row r="199" customFormat="false" ht="15" hidden="false" customHeight="false" outlineLevel="0" collapsed="false">
      <c r="A199" s="6" t="n">
        <v>1</v>
      </c>
      <c r="B199" s="6" t="n">
        <v>1</v>
      </c>
      <c r="C199" s="6" t="s">
        <v>239</v>
      </c>
      <c r="D199" s="6" t="s">
        <v>241</v>
      </c>
      <c r="E199" s="6" t="s">
        <v>242</v>
      </c>
      <c r="F199" s="6" t="n">
        <v>1</v>
      </c>
      <c r="G199" s="6" t="n">
        <f aca="false">IF(F199=0,0,1)</f>
        <v>1</v>
      </c>
      <c r="H199" s="6" t="str">
        <f aca="false">IF(E199="RECOVERY","RECOVERY_START",E199)</f>
        <v>PERSISTENT_DEVIATION</v>
      </c>
      <c r="I199" s="6" t="str">
        <f aca="false">H200</f>
        <v>PERSISTENT_DEVIATION</v>
      </c>
      <c r="J199" s="6" t="n">
        <f aca="false">IF(AND(G199=1,G200=1),1,0)</f>
        <v>1</v>
      </c>
    </row>
    <row r="200" customFormat="false" ht="15" hidden="false" customHeight="false" outlineLevel="0" collapsed="false">
      <c r="A200" s="6" t="n">
        <v>1</v>
      </c>
      <c r="B200" s="6" t="n">
        <v>2</v>
      </c>
      <c r="C200" s="6" t="s">
        <v>241</v>
      </c>
      <c r="D200" s="6" t="s">
        <v>243</v>
      </c>
      <c r="E200" s="6" t="s">
        <v>242</v>
      </c>
      <c r="F200" s="6" t="n">
        <v>1</v>
      </c>
      <c r="G200" s="6" t="n">
        <f aca="false">IF(F200=0,0,1)</f>
        <v>1</v>
      </c>
      <c r="H200" s="6" t="str">
        <f aca="false">IF(E200="RECOVERY","RECOVERY_START",E200)</f>
        <v>PERSISTENT_DEVIATION</v>
      </c>
      <c r="I200" s="6" t="str">
        <f aca="false">H201</f>
        <v>PERSISTENT_DEVIATION</v>
      </c>
      <c r="J200" s="6" t="n">
        <f aca="false">IF(AND(G200=1,G201=1),1,0)</f>
        <v>1</v>
      </c>
    </row>
    <row r="201" customFormat="false" ht="15" hidden="false" customHeight="false" outlineLevel="0" collapsed="false">
      <c r="A201" s="6" t="n">
        <v>1</v>
      </c>
      <c r="B201" s="6" t="n">
        <v>3</v>
      </c>
      <c r="C201" s="6" t="s">
        <v>243</v>
      </c>
      <c r="D201" s="6" t="s">
        <v>244</v>
      </c>
      <c r="E201" s="6" t="s">
        <v>242</v>
      </c>
      <c r="F201" s="6" t="n">
        <v>1</v>
      </c>
      <c r="G201" s="6" t="n">
        <f aca="false">IF(F201=0,0,1)</f>
        <v>1</v>
      </c>
      <c r="H201" s="6" t="str">
        <f aca="false">IF(E201="RECOVERY","RECOVERY_START",E201)</f>
        <v>PERSISTENT_DEVIATION</v>
      </c>
      <c r="I201" s="6" t="str">
        <f aca="false">H202</f>
        <v>PERSISTENT_DEVIATION</v>
      </c>
      <c r="J201" s="6" t="n">
        <f aca="false">IF(AND(G201=1,G202=1),1,0)</f>
        <v>1</v>
      </c>
    </row>
    <row r="202" customFormat="false" ht="15" hidden="false" customHeight="false" outlineLevel="0" collapsed="false">
      <c r="A202" s="6" t="n">
        <v>1</v>
      </c>
      <c r="B202" s="6" t="n">
        <v>4</v>
      </c>
      <c r="C202" s="6" t="s">
        <v>244</v>
      </c>
      <c r="D202" s="6" t="s">
        <v>245</v>
      </c>
      <c r="E202" s="6" t="s">
        <v>242</v>
      </c>
      <c r="F202" s="6" t="n">
        <v>1</v>
      </c>
      <c r="G202" s="6" t="n">
        <f aca="false">IF(F202=0,0,1)</f>
        <v>1</v>
      </c>
      <c r="H202" s="6" t="str">
        <f aca="false">IF(E202="RECOVERY","RECOVERY_START",E202)</f>
        <v>PERSISTENT_DEVIATION</v>
      </c>
      <c r="I202" s="6" t="str">
        <f aca="false">H203</f>
        <v>PERSISTENT_DEVIATION</v>
      </c>
      <c r="J202" s="6" t="n">
        <f aca="false">IF(AND(G202=1,G203=1),1,0)</f>
        <v>1</v>
      </c>
    </row>
    <row r="203" customFormat="false" ht="15" hidden="false" customHeight="false" outlineLevel="0" collapsed="false">
      <c r="A203" s="6" t="n">
        <v>1</v>
      </c>
      <c r="B203" s="6" t="n">
        <v>5</v>
      </c>
      <c r="C203" s="6" t="s">
        <v>245</v>
      </c>
      <c r="D203" s="6" t="s">
        <v>246</v>
      </c>
      <c r="E203" s="6" t="s">
        <v>242</v>
      </c>
      <c r="F203" s="6" t="n">
        <v>1</v>
      </c>
      <c r="G203" s="6" t="n">
        <f aca="false">IF(F203=0,0,1)</f>
        <v>1</v>
      </c>
      <c r="H203" s="6" t="str">
        <f aca="false">IF(E203="RECOVERY","RECOVERY_START",E203)</f>
        <v>PERSISTENT_DEVIATION</v>
      </c>
      <c r="I203" s="6" t="str">
        <f aca="false">H204</f>
        <v>PERSISTENT_DEVIATION</v>
      </c>
      <c r="J203" s="6" t="n">
        <f aca="false">IF(AND(G203=1,G204=1),1,0)</f>
        <v>1</v>
      </c>
    </row>
    <row r="204" customFormat="false" ht="15" hidden="false" customHeight="false" outlineLevel="0" collapsed="false">
      <c r="A204" s="6" t="n">
        <v>1</v>
      </c>
      <c r="B204" s="6" t="n">
        <v>6</v>
      </c>
      <c r="C204" s="6" t="s">
        <v>246</v>
      </c>
      <c r="D204" s="6" t="s">
        <v>247</v>
      </c>
      <c r="E204" s="6" t="s">
        <v>242</v>
      </c>
      <c r="F204" s="6" t="n">
        <v>1</v>
      </c>
      <c r="G204" s="6" t="n">
        <f aca="false">IF(F204=0,0,1)</f>
        <v>1</v>
      </c>
      <c r="H204" s="6" t="str">
        <f aca="false">IF(E204="RECOVERY","RECOVERY_START",E204)</f>
        <v>PERSISTENT_DEVIATION</v>
      </c>
      <c r="I204" s="6" t="str">
        <f aca="false">H205</f>
        <v>PERSISTENT_DEVIATION</v>
      </c>
      <c r="J204" s="6" t="n">
        <f aca="false">IF(AND(G204=1,G205=1),1,0)</f>
        <v>1</v>
      </c>
    </row>
    <row r="205" customFormat="false" ht="15" hidden="false" customHeight="false" outlineLevel="0" collapsed="false">
      <c r="A205" s="6" t="n">
        <v>1</v>
      </c>
      <c r="B205" s="6" t="n">
        <v>7</v>
      </c>
      <c r="C205" s="6" t="s">
        <v>247</v>
      </c>
      <c r="D205" s="6" t="s">
        <v>248</v>
      </c>
      <c r="E205" s="6" t="s">
        <v>242</v>
      </c>
      <c r="F205" s="6" t="n">
        <v>1</v>
      </c>
      <c r="G205" s="6" t="n">
        <f aca="false">IF(F205=0,0,1)</f>
        <v>1</v>
      </c>
      <c r="H205" s="6" t="str">
        <f aca="false">IF(E205="RECOVERY","RECOVERY_START",E205)</f>
        <v>PERSISTENT_DEVIATION</v>
      </c>
      <c r="I205" s="6" t="str">
        <f aca="false">H206</f>
        <v>PERSISTENT_DEVIATION</v>
      </c>
      <c r="J205" s="6" t="n">
        <f aca="false">IF(AND(G205=1,G206=1),1,0)</f>
        <v>1</v>
      </c>
    </row>
    <row r="206" customFormat="false" ht="15" hidden="false" customHeight="false" outlineLevel="0" collapsed="false">
      <c r="A206" s="6" t="n">
        <v>1</v>
      </c>
      <c r="B206" s="6" t="n">
        <v>8</v>
      </c>
      <c r="C206" s="6" t="s">
        <v>248</v>
      </c>
      <c r="D206" s="6" t="s">
        <v>249</v>
      </c>
      <c r="E206" s="6" t="s">
        <v>242</v>
      </c>
      <c r="F206" s="6" t="n">
        <v>1</v>
      </c>
      <c r="G206" s="6" t="n">
        <f aca="false">IF(F206=0,0,1)</f>
        <v>1</v>
      </c>
      <c r="H206" s="6" t="str">
        <f aca="false">IF(E206="RECOVERY","RECOVERY_START",E206)</f>
        <v>PERSISTENT_DEVIATION</v>
      </c>
      <c r="I206" s="6" t="str">
        <f aca="false">H207</f>
        <v>PERSISTENT_DEVIATION</v>
      </c>
      <c r="J206" s="6" t="n">
        <f aca="false">IF(AND(G206=1,G207=1),1,0)</f>
        <v>1</v>
      </c>
    </row>
    <row r="207" customFormat="false" ht="15" hidden="false" customHeight="false" outlineLevel="0" collapsed="false">
      <c r="A207" s="6" t="n">
        <v>1</v>
      </c>
      <c r="B207" s="6" t="n">
        <v>9</v>
      </c>
      <c r="C207" s="6" t="s">
        <v>249</v>
      </c>
      <c r="D207" s="6" t="s">
        <v>250</v>
      </c>
      <c r="E207" s="6" t="s">
        <v>242</v>
      </c>
      <c r="F207" s="6" t="n">
        <v>1</v>
      </c>
      <c r="G207" s="6" t="n">
        <f aca="false">IF(F207=0,0,1)</f>
        <v>1</v>
      </c>
      <c r="H207" s="6" t="str">
        <f aca="false">IF(E207="RECOVERY","RECOVERY_START",E207)</f>
        <v>PERSISTENT_DEVIATION</v>
      </c>
      <c r="I207" s="6" t="str">
        <f aca="false">H208</f>
        <v>PERSISTENT_DEVIATION</v>
      </c>
      <c r="J207" s="6" t="n">
        <f aca="false">IF(AND(G207=1,G208=1),1,0)</f>
        <v>1</v>
      </c>
    </row>
    <row r="208" customFormat="false" ht="15" hidden="false" customHeight="false" outlineLevel="0" collapsed="false">
      <c r="A208" s="6" t="n">
        <v>1</v>
      </c>
      <c r="B208" s="6" t="n">
        <v>10</v>
      </c>
      <c r="C208" s="6" t="s">
        <v>250</v>
      </c>
      <c r="D208" s="6" t="s">
        <v>251</v>
      </c>
      <c r="E208" s="6" t="s">
        <v>242</v>
      </c>
      <c r="F208" s="6" t="n">
        <v>1</v>
      </c>
      <c r="G208" s="6" t="n">
        <f aca="false">IF(F208=0,0,1)</f>
        <v>1</v>
      </c>
      <c r="H208" s="6" t="str">
        <f aca="false">IF(E208="RECOVERY","RECOVERY_START",E208)</f>
        <v>PERSISTENT_DEVIATION</v>
      </c>
      <c r="I208" s="6" t="str">
        <f aca="false">H209</f>
        <v>RECOVERY_START</v>
      </c>
      <c r="J208" s="6" t="n">
        <f aca="false">IF(AND(G208=1,G209=1),1,0)</f>
        <v>1</v>
      </c>
    </row>
    <row r="209" customFormat="false" ht="15" hidden="false" customHeight="false" outlineLevel="0" collapsed="false">
      <c r="A209" s="6" t="n">
        <v>1</v>
      </c>
      <c r="B209" s="6" t="n">
        <v>11</v>
      </c>
      <c r="C209" s="6" t="s">
        <v>251</v>
      </c>
      <c r="D209" s="6" t="s">
        <v>252</v>
      </c>
      <c r="E209" s="6" t="s">
        <v>253</v>
      </c>
      <c r="F209" s="6" t="n">
        <v>1</v>
      </c>
      <c r="G209" s="6" t="n">
        <f aca="false">IF(F209=0,0,1)</f>
        <v>1</v>
      </c>
      <c r="H209" s="6" t="str">
        <f aca="false">IF(E209="RECOVERY","RECOVERY_START",E209)</f>
        <v>RECOVERY_START</v>
      </c>
      <c r="I209" s="6" t="str">
        <f aca="false">H210</f>
        <v>RECOVERY_START</v>
      </c>
      <c r="J209" s="6" t="n">
        <f aca="false">IF(AND(G209=1,G210=1),1,0)</f>
        <v>1</v>
      </c>
    </row>
    <row r="210" customFormat="false" ht="15" hidden="false" customHeight="false" outlineLevel="0" collapsed="false">
      <c r="A210" s="6" t="n">
        <v>1</v>
      </c>
      <c r="B210" s="6" t="n">
        <v>12</v>
      </c>
      <c r="C210" s="6" t="s">
        <v>252</v>
      </c>
      <c r="D210" s="6" t="s">
        <v>254</v>
      </c>
      <c r="E210" s="6" t="s">
        <v>253</v>
      </c>
      <c r="F210" s="6" t="n">
        <v>1</v>
      </c>
      <c r="G210" s="6" t="n">
        <f aca="false">IF(F210=0,0,1)</f>
        <v>1</v>
      </c>
      <c r="H210" s="6" t="str">
        <f aca="false">IF(E210="RECOVERY","RECOVERY_START",E210)</f>
        <v>RECOVERY_START</v>
      </c>
      <c r="I210" s="6" t="str">
        <f aca="false">H211</f>
        <v>RECOVERED</v>
      </c>
      <c r="J210" s="6" t="n">
        <f aca="false">IF(AND(G210=1,G211=1),1,0)</f>
        <v>1</v>
      </c>
    </row>
    <row r="211" customFormat="false" ht="15" hidden="false" customHeight="false" outlineLevel="0" collapsed="false">
      <c r="A211" s="6" t="n">
        <v>1</v>
      </c>
      <c r="B211" s="6" t="n">
        <v>13</v>
      </c>
      <c r="C211" s="6" t="s">
        <v>254</v>
      </c>
      <c r="D211" s="6" t="s">
        <v>70</v>
      </c>
      <c r="E211" s="6" t="s">
        <v>255</v>
      </c>
      <c r="F211" s="6" t="n">
        <v>1</v>
      </c>
      <c r="G211" s="6" t="n">
        <f aca="false">IF(F211=0,0,1)</f>
        <v>1</v>
      </c>
      <c r="H211" s="6" t="str">
        <f aca="false">IF(E211="RECOVERY","RECOVERY_START",E211)</f>
        <v>RECOVERED</v>
      </c>
      <c r="I211" s="6"/>
      <c r="J211" s="6" t="n">
        <v>0</v>
      </c>
    </row>
    <row r="212" customFormat="false" ht="15" hidden="false" customHeight="false" outlineLevel="0" collapsed="false">
      <c r="A212" s="6" t="n">
        <v>2</v>
      </c>
      <c r="B212" s="6" t="n">
        <v>0</v>
      </c>
      <c r="C212" s="6" t="s">
        <v>134</v>
      </c>
      <c r="D212" s="6" t="s">
        <v>256</v>
      </c>
      <c r="E212" s="6" t="s">
        <v>240</v>
      </c>
      <c r="F212" s="6" t="n">
        <v>1</v>
      </c>
      <c r="G212" s="6" t="n">
        <f aca="false">IF(F212=0,0,1)</f>
        <v>1</v>
      </c>
      <c r="H212" s="6" t="str">
        <f aca="false">IF(E212="RECOVERY","RECOVERY_START",E212)</f>
        <v>DEVIATION_CANDIDATE</v>
      </c>
      <c r="I212" s="6" t="str">
        <f aca="false">H213</f>
        <v>PERSISTENT_DEVIATION</v>
      </c>
      <c r="J212" s="6" t="n">
        <f aca="false">IF(AND(G212=1,G213=1),1,0)</f>
        <v>1</v>
      </c>
    </row>
    <row r="213" customFormat="false" ht="15" hidden="false" customHeight="false" outlineLevel="0" collapsed="false">
      <c r="A213" s="6" t="n">
        <v>2</v>
      </c>
      <c r="B213" s="6" t="n">
        <v>1</v>
      </c>
      <c r="C213" s="6" t="s">
        <v>256</v>
      </c>
      <c r="D213" s="6" t="s">
        <v>257</v>
      </c>
      <c r="E213" s="6" t="s">
        <v>242</v>
      </c>
      <c r="F213" s="6" t="n">
        <v>1</v>
      </c>
      <c r="G213" s="6" t="n">
        <f aca="false">IF(F213=0,0,1)</f>
        <v>1</v>
      </c>
      <c r="H213" s="6" t="str">
        <f aca="false">IF(E213="RECOVERY","RECOVERY_START",E213)</f>
        <v>PERSISTENT_DEVIATION</v>
      </c>
      <c r="I213" s="6" t="str">
        <f aca="false">H214</f>
        <v>PERSISTENT_DEVIATION</v>
      </c>
      <c r="J213" s="6" t="n">
        <f aca="false">IF(AND(G213=1,G214=1),1,0)</f>
        <v>1</v>
      </c>
    </row>
    <row r="214" customFormat="false" ht="15" hidden="false" customHeight="false" outlineLevel="0" collapsed="false">
      <c r="A214" s="6" t="n">
        <v>2</v>
      </c>
      <c r="B214" s="6" t="n">
        <v>2</v>
      </c>
      <c r="C214" s="6" t="s">
        <v>257</v>
      </c>
      <c r="D214" s="6" t="s">
        <v>258</v>
      </c>
      <c r="E214" s="6" t="s">
        <v>242</v>
      </c>
      <c r="F214" s="6" t="n">
        <v>1</v>
      </c>
      <c r="G214" s="6" t="n">
        <f aca="false">IF(F214=0,0,1)</f>
        <v>1</v>
      </c>
      <c r="H214" s="6" t="str">
        <f aca="false">IF(E214="RECOVERY","RECOVERY_START",E214)</f>
        <v>PERSISTENT_DEVIATION</v>
      </c>
      <c r="I214" s="6" t="str">
        <f aca="false">H215</f>
        <v>PERSISTENT_DEVIATION</v>
      </c>
      <c r="J214" s="6" t="n">
        <f aca="false">IF(AND(G214=1,G215=1),1,0)</f>
        <v>1</v>
      </c>
    </row>
    <row r="215" customFormat="false" ht="15" hidden="false" customHeight="false" outlineLevel="0" collapsed="false">
      <c r="A215" s="6" t="n">
        <v>2</v>
      </c>
      <c r="B215" s="6" t="n">
        <v>3</v>
      </c>
      <c r="C215" s="6" t="s">
        <v>258</v>
      </c>
      <c r="D215" s="6" t="s">
        <v>259</v>
      </c>
      <c r="E215" s="6" t="s">
        <v>242</v>
      </c>
      <c r="F215" s="6" t="n">
        <v>1</v>
      </c>
      <c r="G215" s="6" t="n">
        <f aca="false">IF(F215=0,0,1)</f>
        <v>1</v>
      </c>
      <c r="H215" s="6" t="str">
        <f aca="false">IF(E215="RECOVERY","RECOVERY_START",E215)</f>
        <v>PERSISTENT_DEVIATION</v>
      </c>
      <c r="I215" s="6" t="str">
        <f aca="false">H216</f>
        <v>PERSISTENT_DEVIATION</v>
      </c>
      <c r="J215" s="6" t="n">
        <f aca="false">IF(AND(G215=1,G216=1),1,0)</f>
        <v>1</v>
      </c>
    </row>
    <row r="216" customFormat="false" ht="15" hidden="false" customHeight="false" outlineLevel="0" collapsed="false">
      <c r="A216" s="6" t="n">
        <v>2</v>
      </c>
      <c r="B216" s="6" t="n">
        <v>4</v>
      </c>
      <c r="C216" s="6" t="s">
        <v>259</v>
      </c>
      <c r="D216" s="6" t="s">
        <v>260</v>
      </c>
      <c r="E216" s="6" t="s">
        <v>242</v>
      </c>
      <c r="F216" s="6" t="n">
        <v>1</v>
      </c>
      <c r="G216" s="6" t="n">
        <f aca="false">IF(F216=0,0,1)</f>
        <v>1</v>
      </c>
      <c r="H216" s="6" t="str">
        <f aca="false">IF(E216="RECOVERY","RECOVERY_START",E216)</f>
        <v>PERSISTENT_DEVIATION</v>
      </c>
      <c r="I216" s="6" t="str">
        <f aca="false">H217</f>
        <v>PERSISTENT_DEVIATION</v>
      </c>
      <c r="J216" s="6" t="n">
        <f aca="false">IF(AND(G216=1,G217=1),1,0)</f>
        <v>1</v>
      </c>
    </row>
    <row r="217" customFormat="false" ht="15" hidden="false" customHeight="false" outlineLevel="0" collapsed="false">
      <c r="A217" s="6" t="n">
        <v>2</v>
      </c>
      <c r="B217" s="6" t="n">
        <v>5</v>
      </c>
      <c r="C217" s="6" t="s">
        <v>260</v>
      </c>
      <c r="D217" s="6" t="s">
        <v>261</v>
      </c>
      <c r="E217" s="6" t="s">
        <v>242</v>
      </c>
      <c r="F217" s="6" t="n">
        <v>1</v>
      </c>
      <c r="G217" s="6" t="n">
        <f aca="false">IF(F217=0,0,1)</f>
        <v>1</v>
      </c>
      <c r="H217" s="6" t="str">
        <f aca="false">IF(E217="RECOVERY","RECOVERY_START",E217)</f>
        <v>PERSISTENT_DEVIATION</v>
      </c>
      <c r="I217" s="6" t="str">
        <f aca="false">H218</f>
        <v>PERSISTENT_DEVIATION</v>
      </c>
      <c r="J217" s="6" t="n">
        <f aca="false">IF(AND(G217=1,G218=1),1,0)</f>
        <v>1</v>
      </c>
    </row>
    <row r="218" customFormat="false" ht="15" hidden="false" customHeight="false" outlineLevel="0" collapsed="false">
      <c r="A218" s="6" t="n">
        <v>2</v>
      </c>
      <c r="B218" s="6" t="n">
        <v>6</v>
      </c>
      <c r="C218" s="6" t="s">
        <v>261</v>
      </c>
      <c r="D218" s="6" t="s">
        <v>262</v>
      </c>
      <c r="E218" s="6" t="s">
        <v>242</v>
      </c>
      <c r="F218" s="6" t="n">
        <v>1</v>
      </c>
      <c r="G218" s="6" t="n">
        <f aca="false">IF(F218=0,0,1)</f>
        <v>1</v>
      </c>
      <c r="H218" s="6" t="str">
        <f aca="false">IF(E218="RECOVERY","RECOVERY_START",E218)</f>
        <v>PERSISTENT_DEVIATION</v>
      </c>
      <c r="I218" s="6" t="str">
        <f aca="false">H219</f>
        <v>PERSISTENT_DEVIATION</v>
      </c>
      <c r="J218" s="6" t="n">
        <f aca="false">IF(AND(G218=1,G219=1),1,0)</f>
        <v>1</v>
      </c>
    </row>
    <row r="219" customFormat="false" ht="15" hidden="false" customHeight="false" outlineLevel="0" collapsed="false">
      <c r="A219" s="6" t="n">
        <v>2</v>
      </c>
      <c r="B219" s="6" t="n">
        <v>7</v>
      </c>
      <c r="C219" s="6" t="s">
        <v>262</v>
      </c>
      <c r="D219" s="6" t="s">
        <v>263</v>
      </c>
      <c r="E219" s="6" t="s">
        <v>242</v>
      </c>
      <c r="F219" s="6" t="n">
        <v>1</v>
      </c>
      <c r="G219" s="6" t="n">
        <f aca="false">IF(F219=0,0,1)</f>
        <v>1</v>
      </c>
      <c r="H219" s="6" t="str">
        <f aca="false">IF(E219="RECOVERY","RECOVERY_START",E219)</f>
        <v>PERSISTENT_DEVIATION</v>
      </c>
      <c r="I219" s="6" t="str">
        <f aca="false">H220</f>
        <v>PERSISTENT_DEVIATION</v>
      </c>
      <c r="J219" s="6" t="n">
        <f aca="false">IF(AND(G219=1,G220=1),1,0)</f>
        <v>1</v>
      </c>
    </row>
    <row r="220" customFormat="false" ht="15" hidden="false" customHeight="false" outlineLevel="0" collapsed="false">
      <c r="A220" s="6" t="n">
        <v>2</v>
      </c>
      <c r="B220" s="6" t="n">
        <v>8</v>
      </c>
      <c r="C220" s="6" t="s">
        <v>263</v>
      </c>
      <c r="D220" s="6" t="s">
        <v>264</v>
      </c>
      <c r="E220" s="6" t="s">
        <v>242</v>
      </c>
      <c r="F220" s="6" t="n">
        <v>1</v>
      </c>
      <c r="G220" s="6" t="n">
        <f aca="false">IF(F220=0,0,1)</f>
        <v>1</v>
      </c>
      <c r="H220" s="6" t="str">
        <f aca="false">IF(E220="RECOVERY","RECOVERY_START",E220)</f>
        <v>PERSISTENT_DEVIATION</v>
      </c>
      <c r="I220" s="6" t="str">
        <f aca="false">H221</f>
        <v>PERSISTENT_DEVIATION</v>
      </c>
      <c r="J220" s="6" t="n">
        <f aca="false">IF(AND(G220=1,G221=1),1,0)</f>
        <v>1</v>
      </c>
    </row>
    <row r="221" customFormat="false" ht="15" hidden="false" customHeight="false" outlineLevel="0" collapsed="false">
      <c r="A221" s="6" t="n">
        <v>2</v>
      </c>
      <c r="B221" s="6" t="n">
        <v>9</v>
      </c>
      <c r="C221" s="6" t="s">
        <v>264</v>
      </c>
      <c r="D221" s="6" t="s">
        <v>265</v>
      </c>
      <c r="E221" s="6" t="s">
        <v>242</v>
      </c>
      <c r="F221" s="6" t="n">
        <v>1</v>
      </c>
      <c r="G221" s="6" t="n">
        <f aca="false">IF(F221=0,0,1)</f>
        <v>1</v>
      </c>
      <c r="H221" s="6" t="str">
        <f aca="false">IF(E221="RECOVERY","RECOVERY_START",E221)</f>
        <v>PERSISTENT_DEVIATION</v>
      </c>
      <c r="I221" s="6" t="str">
        <f aca="false">H222</f>
        <v>PERSISTENT_DEVIATION</v>
      </c>
      <c r="J221" s="6" t="n">
        <f aca="false">IF(AND(G221=1,G222=1),1,0)</f>
        <v>1</v>
      </c>
    </row>
    <row r="222" customFormat="false" ht="15" hidden="false" customHeight="false" outlineLevel="0" collapsed="false">
      <c r="A222" s="6" t="n">
        <v>2</v>
      </c>
      <c r="B222" s="6" t="n">
        <v>10</v>
      </c>
      <c r="C222" s="6" t="s">
        <v>265</v>
      </c>
      <c r="D222" s="6" t="s">
        <v>266</v>
      </c>
      <c r="E222" s="6" t="s">
        <v>242</v>
      </c>
      <c r="F222" s="6" t="n">
        <v>1</v>
      </c>
      <c r="G222" s="6" t="n">
        <f aca="false">IF(F222=0,0,1)</f>
        <v>1</v>
      </c>
      <c r="H222" s="6" t="str">
        <f aca="false">IF(E222="RECOVERY","RECOVERY_START",E222)</f>
        <v>PERSISTENT_DEVIATION</v>
      </c>
      <c r="I222" s="6" t="str">
        <f aca="false">H223</f>
        <v>PERSISTENT_DEVIATION</v>
      </c>
      <c r="J222" s="6" t="n">
        <f aca="false">IF(AND(G222=1,G223=1),1,0)</f>
        <v>1</v>
      </c>
    </row>
    <row r="223" customFormat="false" ht="15" hidden="false" customHeight="false" outlineLevel="0" collapsed="false">
      <c r="A223" s="6" t="n">
        <v>2</v>
      </c>
      <c r="B223" s="6" t="n">
        <v>11</v>
      </c>
      <c r="C223" s="6" t="s">
        <v>266</v>
      </c>
      <c r="D223" s="6" t="s">
        <v>267</v>
      </c>
      <c r="E223" s="6" t="s">
        <v>242</v>
      </c>
      <c r="F223" s="6" t="n">
        <v>1</v>
      </c>
      <c r="G223" s="6" t="n">
        <f aca="false">IF(F223=0,0,1)</f>
        <v>1</v>
      </c>
      <c r="H223" s="6" t="str">
        <f aca="false">IF(E223="RECOVERY","RECOVERY_START",E223)</f>
        <v>PERSISTENT_DEVIATION</v>
      </c>
      <c r="I223" s="6" t="str">
        <f aca="false">H224</f>
        <v>PERSISTENT_DEVIATION</v>
      </c>
      <c r="J223" s="6" t="n">
        <f aca="false">IF(AND(G223=1,G224=1),1,0)</f>
        <v>1</v>
      </c>
    </row>
    <row r="224" customFormat="false" ht="15" hidden="false" customHeight="false" outlineLevel="0" collapsed="false">
      <c r="A224" s="6" t="n">
        <v>2</v>
      </c>
      <c r="B224" s="6" t="n">
        <v>12</v>
      </c>
      <c r="C224" s="6" t="s">
        <v>267</v>
      </c>
      <c r="D224" s="6" t="s">
        <v>268</v>
      </c>
      <c r="E224" s="6" t="s">
        <v>242</v>
      </c>
      <c r="F224" s="6" t="n">
        <v>1</v>
      </c>
      <c r="G224" s="6" t="n">
        <f aca="false">IF(F224=0,0,1)</f>
        <v>1</v>
      </c>
      <c r="H224" s="6" t="str">
        <f aca="false">IF(E224="RECOVERY","RECOVERY_START",E224)</f>
        <v>PERSISTENT_DEVIATION</v>
      </c>
      <c r="I224" s="6" t="str">
        <f aca="false">H225</f>
        <v>RECOVERY_START</v>
      </c>
      <c r="J224" s="6" t="n">
        <f aca="false">IF(AND(G224=1,G225=1),1,0)</f>
        <v>1</v>
      </c>
    </row>
    <row r="225" customFormat="false" ht="15" hidden="false" customHeight="false" outlineLevel="0" collapsed="false">
      <c r="A225" s="6" t="n">
        <v>2</v>
      </c>
      <c r="B225" s="6" t="n">
        <v>13</v>
      </c>
      <c r="C225" s="6" t="s">
        <v>268</v>
      </c>
      <c r="D225" s="6" t="s">
        <v>269</v>
      </c>
      <c r="E225" s="6" t="s">
        <v>253</v>
      </c>
      <c r="F225" s="6" t="n">
        <v>1</v>
      </c>
      <c r="G225" s="6" t="n">
        <f aca="false">IF(F225=0,0,1)</f>
        <v>1</v>
      </c>
      <c r="H225" s="6" t="str">
        <f aca="false">IF(E225="RECOVERY","RECOVERY_START",E225)</f>
        <v>RECOVERY_START</v>
      </c>
      <c r="I225" s="6" t="str">
        <f aca="false">H226</f>
        <v>RECOVERY_START</v>
      </c>
      <c r="J225" s="6" t="n">
        <f aca="false">IF(AND(G225=1,G226=1),1,0)</f>
        <v>1</v>
      </c>
    </row>
    <row r="226" customFormat="false" ht="15" hidden="false" customHeight="false" outlineLevel="0" collapsed="false">
      <c r="A226" s="6" t="n">
        <v>2</v>
      </c>
      <c r="B226" s="6" t="n">
        <v>14</v>
      </c>
      <c r="C226" s="6" t="s">
        <v>269</v>
      </c>
      <c r="D226" s="6" t="s">
        <v>270</v>
      </c>
      <c r="E226" s="6" t="s">
        <v>253</v>
      </c>
      <c r="F226" s="6" t="n">
        <v>1</v>
      </c>
      <c r="G226" s="6" t="n">
        <f aca="false">IF(F226=0,0,1)</f>
        <v>1</v>
      </c>
      <c r="H226" s="6" t="str">
        <f aca="false">IF(E226="RECOVERY","RECOVERY_START",E226)</f>
        <v>RECOVERY_START</v>
      </c>
      <c r="I226" s="6" t="str">
        <f aca="false">H227</f>
        <v>RECOVERED</v>
      </c>
      <c r="J226" s="6" t="n">
        <f aca="false">IF(AND(G226=1,G227=1),1,0)</f>
        <v>1</v>
      </c>
    </row>
    <row r="227" customFormat="false" ht="15" hidden="false" customHeight="false" outlineLevel="0" collapsed="false">
      <c r="A227" s="6" t="n">
        <v>2</v>
      </c>
      <c r="B227" s="6" t="n">
        <v>15</v>
      </c>
      <c r="C227" s="6" t="s">
        <v>270</v>
      </c>
      <c r="D227" s="6" t="s">
        <v>135</v>
      </c>
      <c r="E227" s="6" t="s">
        <v>255</v>
      </c>
      <c r="F227" s="6" t="n">
        <v>1</v>
      </c>
      <c r="G227" s="6" t="n">
        <f aca="false">IF(F227=0,0,1)</f>
        <v>1</v>
      </c>
      <c r="H227" s="6" t="str">
        <f aca="false">IF(E227="RECOVERY","RECOVERY_START",E227)</f>
        <v>RECOVERED</v>
      </c>
      <c r="I227" s="6"/>
      <c r="J227" s="6" t="n">
        <v>0</v>
      </c>
    </row>
    <row r="228" customFormat="false" ht="15" hidden="false" customHeight="false" outlineLevel="0" collapsed="false">
      <c r="A228" s="6" t="n">
        <v>3</v>
      </c>
      <c r="B228" s="6" t="n">
        <v>0</v>
      </c>
      <c r="C228" s="6" t="s">
        <v>195</v>
      </c>
      <c r="D228" s="6" t="s">
        <v>271</v>
      </c>
      <c r="E228" s="6" t="s">
        <v>240</v>
      </c>
      <c r="F228" s="6" t="n">
        <v>1</v>
      </c>
      <c r="G228" s="6" t="n">
        <f aca="false">IF(F228=0,0,1)</f>
        <v>1</v>
      </c>
      <c r="H228" s="6" t="str">
        <f aca="false">IF(E228="RECOVERY","RECOVERY_START",E228)</f>
        <v>DEVIATION_CANDIDATE</v>
      </c>
      <c r="I228" s="6" t="str">
        <f aca="false">H229</f>
        <v>PERSISTENT_DEVIATION</v>
      </c>
      <c r="J228" s="6" t="n">
        <f aca="false">IF(AND(G228=1,G229=1),1,0)</f>
        <v>1</v>
      </c>
    </row>
    <row r="229" customFormat="false" ht="15" hidden="false" customHeight="false" outlineLevel="0" collapsed="false">
      <c r="A229" s="6" t="n">
        <v>3</v>
      </c>
      <c r="B229" s="6" t="n">
        <v>1</v>
      </c>
      <c r="C229" s="6" t="s">
        <v>271</v>
      </c>
      <c r="D229" s="6" t="s">
        <v>272</v>
      </c>
      <c r="E229" s="6" t="s">
        <v>242</v>
      </c>
      <c r="F229" s="6" t="n">
        <v>1</v>
      </c>
      <c r="G229" s="6" t="n">
        <f aca="false">IF(F229=0,0,1)</f>
        <v>1</v>
      </c>
      <c r="H229" s="6" t="str">
        <f aca="false">IF(E229="RECOVERY","RECOVERY_START",E229)</f>
        <v>PERSISTENT_DEVIATION</v>
      </c>
      <c r="I229" s="6" t="str">
        <f aca="false">H230</f>
        <v>PERSISTENT_DEVIATION</v>
      </c>
      <c r="J229" s="6" t="n">
        <f aca="false">IF(AND(G229=1,G230=1),1,0)</f>
        <v>1</v>
      </c>
    </row>
    <row r="230" customFormat="false" ht="15" hidden="false" customHeight="false" outlineLevel="0" collapsed="false">
      <c r="A230" s="6" t="n">
        <v>3</v>
      </c>
      <c r="B230" s="6" t="n">
        <v>2</v>
      </c>
      <c r="C230" s="6" t="s">
        <v>272</v>
      </c>
      <c r="D230" s="6" t="s">
        <v>273</v>
      </c>
      <c r="E230" s="6" t="s">
        <v>242</v>
      </c>
      <c r="F230" s="6" t="n">
        <v>1</v>
      </c>
      <c r="G230" s="6" t="n">
        <f aca="false">IF(F230=0,0,1)</f>
        <v>1</v>
      </c>
      <c r="H230" s="6" t="str">
        <f aca="false">IF(E230="RECOVERY","RECOVERY_START",E230)</f>
        <v>PERSISTENT_DEVIATION</v>
      </c>
      <c r="I230" s="6" t="str">
        <f aca="false">H231</f>
        <v>PERSISTENT_DEVIATION</v>
      </c>
      <c r="J230" s="6" t="n">
        <f aca="false">IF(AND(G230=1,G231=1),1,0)</f>
        <v>1</v>
      </c>
    </row>
    <row r="231" customFormat="false" ht="15" hidden="false" customHeight="false" outlineLevel="0" collapsed="false">
      <c r="A231" s="6" t="n">
        <v>3</v>
      </c>
      <c r="B231" s="6" t="n">
        <v>3</v>
      </c>
      <c r="C231" s="6" t="s">
        <v>273</v>
      </c>
      <c r="D231" s="6" t="s">
        <v>274</v>
      </c>
      <c r="E231" s="6" t="s">
        <v>242</v>
      </c>
      <c r="F231" s="6" t="n">
        <v>1</v>
      </c>
      <c r="G231" s="6" t="n">
        <f aca="false">IF(F231=0,0,1)</f>
        <v>1</v>
      </c>
      <c r="H231" s="6" t="str">
        <f aca="false">IF(E231="RECOVERY","RECOVERY_START",E231)</f>
        <v>PERSISTENT_DEVIATION</v>
      </c>
      <c r="I231" s="6" t="str">
        <f aca="false">H232</f>
        <v>PERSISTENT_DEVIATION</v>
      </c>
      <c r="J231" s="6" t="n">
        <f aca="false">IF(AND(G231=1,G232=1),1,0)</f>
        <v>1</v>
      </c>
    </row>
    <row r="232" customFormat="false" ht="15" hidden="false" customHeight="false" outlineLevel="0" collapsed="false">
      <c r="A232" s="6" t="n">
        <v>3</v>
      </c>
      <c r="B232" s="6" t="n">
        <v>4</v>
      </c>
      <c r="C232" s="6" t="s">
        <v>274</v>
      </c>
      <c r="D232" s="6" t="s">
        <v>275</v>
      </c>
      <c r="E232" s="6" t="s">
        <v>242</v>
      </c>
      <c r="F232" s="6" t="n">
        <v>1</v>
      </c>
      <c r="G232" s="6" t="n">
        <f aca="false">IF(F232=0,0,1)</f>
        <v>1</v>
      </c>
      <c r="H232" s="6" t="str">
        <f aca="false">IF(E232="RECOVERY","RECOVERY_START",E232)</f>
        <v>PERSISTENT_DEVIATION</v>
      </c>
      <c r="I232" s="6" t="str">
        <f aca="false">H233</f>
        <v>PERSISTENT_DEVIATION</v>
      </c>
      <c r="J232" s="6" t="n">
        <f aca="false">IF(AND(G232=1,G233=1),1,0)</f>
        <v>1</v>
      </c>
    </row>
    <row r="233" customFormat="false" ht="15" hidden="false" customHeight="false" outlineLevel="0" collapsed="false">
      <c r="A233" s="6" t="n">
        <v>3</v>
      </c>
      <c r="B233" s="6" t="n">
        <v>5</v>
      </c>
      <c r="C233" s="6" t="s">
        <v>275</v>
      </c>
      <c r="D233" s="6" t="s">
        <v>276</v>
      </c>
      <c r="E233" s="6" t="s">
        <v>242</v>
      </c>
      <c r="F233" s="6" t="n">
        <v>1</v>
      </c>
      <c r="G233" s="6" t="n">
        <f aca="false">IF(F233=0,0,1)</f>
        <v>1</v>
      </c>
      <c r="H233" s="6" t="str">
        <f aca="false">IF(E233="RECOVERY","RECOVERY_START",E233)</f>
        <v>PERSISTENT_DEVIATION</v>
      </c>
      <c r="I233" s="6" t="str">
        <f aca="false">H234</f>
        <v>PERSISTENT_DEVIATION</v>
      </c>
      <c r="J233" s="6" t="n">
        <f aca="false">IF(AND(G233=1,G234=1),1,0)</f>
        <v>1</v>
      </c>
    </row>
    <row r="234" customFormat="false" ht="15" hidden="false" customHeight="false" outlineLevel="0" collapsed="false">
      <c r="A234" s="6" t="n">
        <v>3</v>
      </c>
      <c r="B234" s="6" t="n">
        <v>6</v>
      </c>
      <c r="C234" s="6" t="s">
        <v>276</v>
      </c>
      <c r="D234" s="6" t="s">
        <v>277</v>
      </c>
      <c r="E234" s="6" t="s">
        <v>242</v>
      </c>
      <c r="F234" s="6" t="n">
        <v>1</v>
      </c>
      <c r="G234" s="6" t="n">
        <f aca="false">IF(F234=0,0,1)</f>
        <v>1</v>
      </c>
      <c r="H234" s="6" t="str">
        <f aca="false">IF(E234="RECOVERY","RECOVERY_START",E234)</f>
        <v>PERSISTENT_DEVIATION</v>
      </c>
      <c r="I234" s="6" t="str">
        <f aca="false">H235</f>
        <v>PERSISTENT_DEVIATION</v>
      </c>
      <c r="J234" s="6" t="n">
        <f aca="false">IF(AND(G234=1,G235=1),1,0)</f>
        <v>1</v>
      </c>
    </row>
    <row r="235" customFormat="false" ht="15" hidden="false" customHeight="false" outlineLevel="0" collapsed="false">
      <c r="A235" s="6" t="n">
        <v>3</v>
      </c>
      <c r="B235" s="6" t="n">
        <v>7</v>
      </c>
      <c r="C235" s="6" t="s">
        <v>277</v>
      </c>
      <c r="D235" s="6" t="s">
        <v>278</v>
      </c>
      <c r="E235" s="6" t="s">
        <v>242</v>
      </c>
      <c r="F235" s="6" t="n">
        <v>1</v>
      </c>
      <c r="G235" s="6" t="n">
        <f aca="false">IF(F235=0,0,1)</f>
        <v>1</v>
      </c>
      <c r="H235" s="6" t="str">
        <f aca="false">IF(E235="RECOVERY","RECOVERY_START",E235)</f>
        <v>PERSISTENT_DEVIATION</v>
      </c>
      <c r="I235" s="6" t="str">
        <f aca="false">H236</f>
        <v>PERSISTENT_DEVIATION</v>
      </c>
      <c r="J235" s="6" t="n">
        <f aca="false">IF(AND(G235=1,G236=1),1,0)</f>
        <v>1</v>
      </c>
    </row>
    <row r="236" customFormat="false" ht="15" hidden="false" customHeight="false" outlineLevel="0" collapsed="false">
      <c r="A236" s="6" t="n">
        <v>3</v>
      </c>
      <c r="B236" s="6" t="n">
        <v>8</v>
      </c>
      <c r="C236" s="6" t="s">
        <v>278</v>
      </c>
      <c r="D236" s="6" t="s">
        <v>279</v>
      </c>
      <c r="E236" s="6" t="s">
        <v>242</v>
      </c>
      <c r="F236" s="6" t="n">
        <v>1</v>
      </c>
      <c r="G236" s="6" t="n">
        <f aca="false">IF(F236=0,0,1)</f>
        <v>1</v>
      </c>
      <c r="H236" s="6" t="str">
        <f aca="false">IF(E236="RECOVERY","RECOVERY_START",E236)</f>
        <v>PERSISTENT_DEVIATION</v>
      </c>
      <c r="I236" s="6" t="str">
        <f aca="false">H237</f>
        <v>PERSISTENT_DEVIATION</v>
      </c>
      <c r="J236" s="6" t="n">
        <f aca="false">IF(AND(G236=1,G237=1),1,0)</f>
        <v>1</v>
      </c>
    </row>
    <row r="237" customFormat="false" ht="15" hidden="false" customHeight="false" outlineLevel="0" collapsed="false">
      <c r="A237" s="6" t="n">
        <v>3</v>
      </c>
      <c r="B237" s="6" t="n">
        <v>9</v>
      </c>
      <c r="C237" s="6" t="s">
        <v>279</v>
      </c>
      <c r="D237" s="6" t="s">
        <v>280</v>
      </c>
      <c r="E237" s="6" t="s">
        <v>242</v>
      </c>
      <c r="F237" s="6" t="n">
        <v>1</v>
      </c>
      <c r="G237" s="6" t="n">
        <f aca="false">IF(F237=0,0,1)</f>
        <v>1</v>
      </c>
      <c r="H237" s="6" t="str">
        <f aca="false">IF(E237="RECOVERY","RECOVERY_START",E237)</f>
        <v>PERSISTENT_DEVIATION</v>
      </c>
      <c r="I237" s="6" t="str">
        <f aca="false">H238</f>
        <v>PERSISTENT_DEVIATION</v>
      </c>
      <c r="J237" s="6" t="n">
        <f aca="false">IF(AND(G237=1,G238=1),1,0)</f>
        <v>1</v>
      </c>
    </row>
    <row r="238" customFormat="false" ht="15" hidden="false" customHeight="false" outlineLevel="0" collapsed="false">
      <c r="A238" s="6" t="n">
        <v>3</v>
      </c>
      <c r="B238" s="6" t="n">
        <v>10</v>
      </c>
      <c r="C238" s="6" t="s">
        <v>280</v>
      </c>
      <c r="D238" s="6" t="s">
        <v>281</v>
      </c>
      <c r="E238" s="6" t="s">
        <v>242</v>
      </c>
      <c r="F238" s="6" t="n">
        <v>1</v>
      </c>
      <c r="G238" s="6" t="n">
        <f aca="false">IF(F238=0,0,1)</f>
        <v>1</v>
      </c>
      <c r="H238" s="6" t="str">
        <f aca="false">IF(E238="RECOVERY","RECOVERY_START",E238)</f>
        <v>PERSISTENT_DEVIATION</v>
      </c>
      <c r="I238" s="6" t="str">
        <f aca="false">H239</f>
        <v>RECOVERY_START</v>
      </c>
      <c r="J238" s="6" t="n">
        <f aca="false">IF(AND(G238=1,G239=1),1,0)</f>
        <v>1</v>
      </c>
    </row>
    <row r="239" customFormat="false" ht="15" hidden="false" customHeight="false" outlineLevel="0" collapsed="false">
      <c r="A239" s="6" t="n">
        <v>3</v>
      </c>
      <c r="B239" s="6" t="n">
        <v>11</v>
      </c>
      <c r="C239" s="6" t="s">
        <v>281</v>
      </c>
      <c r="D239" s="6" t="s">
        <v>282</v>
      </c>
      <c r="E239" s="6" t="s">
        <v>253</v>
      </c>
      <c r="F239" s="6" t="n">
        <v>1</v>
      </c>
      <c r="G239" s="6" t="n">
        <f aca="false">IF(F239=0,0,1)</f>
        <v>1</v>
      </c>
      <c r="H239" s="6" t="str">
        <f aca="false">IF(E239="RECOVERY","RECOVERY_START",E239)</f>
        <v>RECOVERY_START</v>
      </c>
      <c r="I239" s="6" t="str">
        <f aca="false">H240</f>
        <v>RECOVERY_START</v>
      </c>
      <c r="J239" s="6" t="n">
        <f aca="false">IF(AND(G239=1,G240=1),1,0)</f>
        <v>1</v>
      </c>
    </row>
    <row r="240" customFormat="false" ht="15" hidden="false" customHeight="false" outlineLevel="0" collapsed="false">
      <c r="A240" s="6" t="n">
        <v>3</v>
      </c>
      <c r="B240" s="6" t="n">
        <v>12</v>
      </c>
      <c r="C240" s="6" t="s">
        <v>282</v>
      </c>
      <c r="D240" s="6" t="s">
        <v>283</v>
      </c>
      <c r="E240" s="6" t="s">
        <v>253</v>
      </c>
      <c r="F240" s="6" t="n">
        <v>1</v>
      </c>
      <c r="G240" s="6" t="n">
        <f aca="false">IF(F240=0,0,1)</f>
        <v>1</v>
      </c>
      <c r="H240" s="6" t="str">
        <f aca="false">IF(E240="RECOVERY","RECOVERY_START",E240)</f>
        <v>RECOVERY_START</v>
      </c>
      <c r="I240" s="6" t="str">
        <f aca="false">H241</f>
        <v>RECOVERED</v>
      </c>
      <c r="J240" s="6" t="n">
        <f aca="false">IF(AND(G240=1,G241=1),1,0)</f>
        <v>1</v>
      </c>
    </row>
    <row r="241" customFormat="false" ht="15" hidden="false" customHeight="false" outlineLevel="0" collapsed="false">
      <c r="A241" s="6" t="n">
        <v>3</v>
      </c>
      <c r="B241" s="6" t="n">
        <v>13</v>
      </c>
      <c r="C241" s="6" t="s">
        <v>283</v>
      </c>
      <c r="D241" s="6" t="s">
        <v>196</v>
      </c>
      <c r="E241" s="6" t="s">
        <v>255</v>
      </c>
      <c r="F241" s="6" t="n">
        <v>1</v>
      </c>
      <c r="G241" s="6" t="n">
        <f aca="false">IF(F241=0,0,1)</f>
        <v>1</v>
      </c>
      <c r="H241" s="6" t="str">
        <f aca="false">IF(E241="RECOVERY","RECOVERY_START",E241)</f>
        <v>RECOVERED</v>
      </c>
      <c r="I241" s="6"/>
      <c r="J241" s="6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20"/>
  </cols>
  <sheetData>
    <row r="1" customFormat="false" ht="15" hidden="false" customHeight="false" outlineLevel="0" collapsed="false">
      <c r="A1" s="10" t="s">
        <v>284</v>
      </c>
      <c r="B1" s="10"/>
      <c r="C1" s="10"/>
      <c r="D1" s="10"/>
      <c r="E1" s="10"/>
      <c r="F1" s="10"/>
      <c r="G1" s="10"/>
    </row>
    <row r="3" customFormat="false" ht="23.85" hidden="false" customHeight="false" outlineLevel="0" collapsed="false">
      <c r="A3" s="5" t="s">
        <v>285</v>
      </c>
      <c r="B3" s="5" t="s">
        <v>40</v>
      </c>
      <c r="C3" s="5" t="s">
        <v>240</v>
      </c>
      <c r="D3" s="5" t="s">
        <v>242</v>
      </c>
      <c r="E3" s="5" t="s">
        <v>286</v>
      </c>
      <c r="F3" s="5" t="s">
        <v>255</v>
      </c>
    </row>
    <row r="4" customFormat="false" ht="15" hidden="false" customHeight="false" outlineLevel="0" collapsed="false">
      <c r="A4" s="11" t="s">
        <v>40</v>
      </c>
      <c r="B4" s="12" t="n">
        <f aca="false">SUMPRODUCT(('Episode Windows'!$H$2:$H$241="BASELINE_COMPATIBLE")*('Episode Windows'!$I$2:$I$241="BASELINE_COMPATIBLE")*('Episode Windows'!$J$2:$J$241=1))</f>
        <v>183</v>
      </c>
      <c r="C4" s="12" t="n">
        <f aca="false">SUMPRODUCT(('Episode Windows'!$H$2:$H$241="BASELINE_COMPATIBLE")*('Episode Windows'!$I$2:$I$241="DEVIATION_CANDIDATE")*('Episode Windows'!$J$2:$J$241=1))</f>
        <v>0</v>
      </c>
      <c r="D4" s="13" t="n">
        <f aca="false">SUMPRODUCT(('Episode Windows'!$H$2:$H$241="BASELINE_COMPATIBLE")*('Episode Windows'!$I$2:$I$241="PERSISTENT_DEVIATION")*('Episode Windows'!$J$2:$J$241=1))</f>
        <v>0</v>
      </c>
      <c r="E4" s="13" t="n">
        <f aca="false">SUMPRODUCT(('Episode Windows'!$H$2:$H$241="BASELINE_COMPATIBLE")*('Episode Windows'!$I$2:$I$241="RECOVERY_START")*('Episode Windows'!$J$2:$J$241=1))</f>
        <v>0</v>
      </c>
      <c r="F4" s="13" t="n">
        <f aca="false">SUMPRODUCT(('Episode Windows'!$H$2:$H$241="BASELINE_COMPATIBLE")*('Episode Windows'!$I$2:$I$241="RECOVERED")*('Episode Windows'!$J$2:$J$241=1))</f>
        <v>0</v>
      </c>
    </row>
    <row r="5" customFormat="false" ht="15" hidden="false" customHeight="false" outlineLevel="0" collapsed="false">
      <c r="A5" s="11" t="s">
        <v>240</v>
      </c>
      <c r="B5" s="12" t="n">
        <f aca="false">SUMPRODUCT(('Episode Windows'!$H$2:$H$241="DEVIATION_CANDIDATE")*('Episode Windows'!$I$2:$I$241="BASELINE_COMPATIBLE")*('Episode Windows'!$J$2:$J$241=1))</f>
        <v>0</v>
      </c>
      <c r="C5" s="12" t="n">
        <f aca="false">SUMPRODUCT(('Episode Windows'!$H$2:$H$241="DEVIATION_CANDIDATE")*('Episode Windows'!$I$2:$I$241="DEVIATION_CANDIDATE")*('Episode Windows'!$J$2:$J$241=1))</f>
        <v>0</v>
      </c>
      <c r="D5" s="12" t="n">
        <f aca="false">SUMPRODUCT(('Episode Windows'!$H$2:$H$241="DEVIATION_CANDIDATE")*('Episode Windows'!$I$2:$I$241="PERSISTENT_DEVIATION")*('Episode Windows'!$J$2:$J$241=1))</f>
        <v>3</v>
      </c>
      <c r="E5" s="13" t="n">
        <f aca="false">SUMPRODUCT(('Episode Windows'!$H$2:$H$241="DEVIATION_CANDIDATE")*('Episode Windows'!$I$2:$I$241="RECOVERY_START")*('Episode Windows'!$J$2:$J$241=1))</f>
        <v>0</v>
      </c>
      <c r="F5" s="13" t="n">
        <f aca="false">SUMPRODUCT(('Episode Windows'!$H$2:$H$241="DEVIATION_CANDIDATE")*('Episode Windows'!$I$2:$I$241="RECOVERED")*('Episode Windows'!$J$2:$J$241=1))</f>
        <v>0</v>
      </c>
    </row>
    <row r="6" customFormat="false" ht="15" hidden="false" customHeight="false" outlineLevel="0" collapsed="false">
      <c r="A6" s="11" t="s">
        <v>242</v>
      </c>
      <c r="B6" s="13" t="n">
        <f aca="false">SUMPRODUCT(('Episode Windows'!$H$2:$H$241="PERSISTENT_DEVIATION")*('Episode Windows'!$I$2:$I$241="BASELINE_COMPATIBLE")*('Episode Windows'!$J$2:$J$241=1))</f>
        <v>0</v>
      </c>
      <c r="C6" s="13" t="n">
        <f aca="false">SUMPRODUCT(('Episode Windows'!$H$2:$H$241="PERSISTENT_DEVIATION")*('Episode Windows'!$I$2:$I$241="DEVIATION_CANDIDATE")*('Episode Windows'!$J$2:$J$241=1))</f>
        <v>0</v>
      </c>
      <c r="D6" s="12" t="n">
        <f aca="false">SUMPRODUCT(('Episode Windows'!$H$2:$H$241="PERSISTENT_DEVIATION")*('Episode Windows'!$I$2:$I$241="PERSISTENT_DEVIATION")*('Episode Windows'!$J$2:$J$241=1))</f>
        <v>29</v>
      </c>
      <c r="E6" s="12" t="n">
        <f aca="false">SUMPRODUCT(('Episode Windows'!$H$2:$H$241="PERSISTENT_DEVIATION")*('Episode Windows'!$I$2:$I$241="RECOVERY_START")*('Episode Windows'!$J$2:$J$241=1))</f>
        <v>3</v>
      </c>
      <c r="F6" s="13" t="n">
        <f aca="false">SUMPRODUCT(('Episode Windows'!$H$2:$H$241="PERSISTENT_DEVIATION")*('Episode Windows'!$I$2:$I$241="RECOVERED")*('Episode Windows'!$J$2:$J$241=1))</f>
        <v>0</v>
      </c>
    </row>
    <row r="7" customFormat="false" ht="15" hidden="false" customHeight="false" outlineLevel="0" collapsed="false">
      <c r="A7" s="11" t="s">
        <v>286</v>
      </c>
      <c r="B7" s="13" t="n">
        <f aca="false">SUMPRODUCT(('Episode Windows'!$H$2:$H$241="RECOVERY_START")*('Episode Windows'!$I$2:$I$241="BASELINE_COMPATIBLE")*('Episode Windows'!$J$2:$J$241=1))</f>
        <v>0</v>
      </c>
      <c r="C7" s="13" t="n">
        <f aca="false">SUMPRODUCT(('Episode Windows'!$H$2:$H$241="RECOVERY_START")*('Episode Windows'!$I$2:$I$241="DEVIATION_CANDIDATE")*('Episode Windows'!$J$2:$J$241=1))</f>
        <v>0</v>
      </c>
      <c r="D7" s="12" t="n">
        <f aca="false">SUMPRODUCT(('Episode Windows'!$H$2:$H$241="RECOVERY_START")*('Episode Windows'!$I$2:$I$241="PERSISTENT_DEVIATION")*('Episode Windows'!$J$2:$J$241=1))</f>
        <v>0</v>
      </c>
      <c r="E7" s="12" t="n">
        <f aca="false">SUMPRODUCT(('Episode Windows'!$H$2:$H$241="RECOVERY_START")*('Episode Windows'!$I$2:$I$241="RECOVERY_START")*('Episode Windows'!$J$2:$J$241=1))</f>
        <v>3</v>
      </c>
      <c r="F7" s="12" t="n">
        <f aca="false">SUMPRODUCT(('Episode Windows'!$H$2:$H$241="RECOVERY_START")*('Episode Windows'!$I$2:$I$241="RECOVERED")*('Episode Windows'!$J$2:$J$241=1))</f>
        <v>3</v>
      </c>
    </row>
    <row r="8" customFormat="false" ht="15" hidden="false" customHeight="false" outlineLevel="0" collapsed="false">
      <c r="A8" s="11" t="s">
        <v>255</v>
      </c>
      <c r="B8" s="12" t="n">
        <f aca="false">SUMPRODUCT(('Episode Windows'!$H$2:$H$241="RECOVERED")*('Episode Windows'!$I$2:$I$241="BASELINE_COMPATIBLE")*('Episode Windows'!$J$2:$J$241=1))</f>
        <v>0</v>
      </c>
      <c r="C8" s="13" t="n">
        <f aca="false">SUMPRODUCT(('Episode Windows'!$H$2:$H$241="RECOVERED")*('Episode Windows'!$I$2:$I$241="DEVIATION_CANDIDATE")*('Episode Windows'!$J$2:$J$241=1))</f>
        <v>0</v>
      </c>
      <c r="D8" s="13" t="n">
        <f aca="false">SUMPRODUCT(('Episode Windows'!$H$2:$H$241="RECOVERED")*('Episode Windows'!$I$2:$I$241="PERSISTENT_DEVIATION")*('Episode Windows'!$J$2:$J$241=1))</f>
        <v>0</v>
      </c>
      <c r="E8" s="13" t="n">
        <f aca="false">SUMPRODUCT(('Episode Windows'!$H$2:$H$241="RECOVERED")*('Episode Windows'!$I$2:$I$241="RECOVERY_START")*('Episode Windows'!$J$2:$J$241=1))</f>
        <v>0</v>
      </c>
      <c r="F8" s="12" t="n">
        <f aca="false">SUMPRODUCT(('Episode Windows'!$H$2:$H$241="RECOVERED")*('Episode Windows'!$I$2:$I$241="RECOVERED")*('Episode Windows'!$J$2:$J$241=1))</f>
        <v>0</v>
      </c>
    </row>
    <row r="10" customFormat="false" ht="15" hidden="false" customHeight="false" outlineLevel="0" collapsed="false">
      <c r="A10" s="14" t="s">
        <v>287</v>
      </c>
    </row>
    <row r="11" customFormat="false" ht="15" hidden="false" customHeight="false" outlineLevel="0" collapsed="false">
      <c r="A11" s="15" t="s">
        <v>288</v>
      </c>
      <c r="B11" s="6" t="n">
        <f aca="false">B4+C4</f>
        <v>183</v>
      </c>
      <c r="C11" s="6" t="n">
        <f aca="false">B5+C5+D5</f>
        <v>3</v>
      </c>
      <c r="D11" s="6" t="n">
        <f aca="false">D6+E6</f>
        <v>32</v>
      </c>
      <c r="E11" s="6" t="n">
        <f aca="false">D7+E7+F7</f>
        <v>6</v>
      </c>
      <c r="F11" s="6" t="n">
        <f aca="false">B8+F8</f>
        <v>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20"/>
    <col collapsed="false" customWidth="true" hidden="false" outlineLevel="0" max="14" min="9" style="0" width="20"/>
  </cols>
  <sheetData>
    <row r="1" customFormat="false" ht="15" hidden="false" customHeight="false" outlineLevel="0" collapsed="false">
      <c r="A1" s="10" t="s">
        <v>289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B2" s="3" t="s">
        <v>290</v>
      </c>
      <c r="C2" s="16" t="n">
        <v>0.5</v>
      </c>
    </row>
    <row r="3" customFormat="false" ht="15" hidden="false" customHeight="false" outlineLevel="0" collapsed="false">
      <c r="I3" s="2" t="s">
        <v>291</v>
      </c>
    </row>
    <row r="4" customFormat="false" ht="23.85" hidden="false" customHeight="false" outlineLevel="0" collapsed="false">
      <c r="A4" s="5" t="s">
        <v>285</v>
      </c>
      <c r="B4" s="5" t="s">
        <v>40</v>
      </c>
      <c r="C4" s="5" t="s">
        <v>240</v>
      </c>
      <c r="D4" s="5" t="s">
        <v>242</v>
      </c>
      <c r="E4" s="5" t="s">
        <v>286</v>
      </c>
      <c r="F4" s="5" t="s">
        <v>255</v>
      </c>
      <c r="I4" s="5" t="s">
        <v>285</v>
      </c>
      <c r="J4" s="5" t="s">
        <v>40</v>
      </c>
      <c r="K4" s="5" t="s">
        <v>240</v>
      </c>
      <c r="L4" s="5" t="s">
        <v>242</v>
      </c>
      <c r="M4" s="5" t="s">
        <v>286</v>
      </c>
      <c r="N4" s="5" t="s">
        <v>255</v>
      </c>
    </row>
    <row r="5" customFormat="false" ht="15" hidden="false" customHeight="false" outlineLevel="0" collapsed="false">
      <c r="A5" s="11" t="s">
        <v>40</v>
      </c>
      <c r="B5" s="17" t="n">
        <f aca="false">('Transition Counts'!B4+0.5)/(('Transition Counts'!B4+'Transition Counts'!C4)+0.5*2)</f>
        <v>0.997282608695652</v>
      </c>
      <c r="C5" s="17" t="n">
        <f aca="false">('Transition Counts'!C4+0.5)/(('Transition Counts'!B4+'Transition Counts'!C4)+0.5*2)</f>
        <v>0.00271739130434783</v>
      </c>
      <c r="D5" s="13" t="s">
        <v>292</v>
      </c>
      <c r="E5" s="13" t="s">
        <v>292</v>
      </c>
      <c r="F5" s="13" t="s">
        <v>292</v>
      </c>
      <c r="I5" s="11" t="s">
        <v>40</v>
      </c>
      <c r="J5" s="18" t="n">
        <f aca="false">IF(ISNUMBER(B5),B5,0)</f>
        <v>0.997282608695652</v>
      </c>
      <c r="K5" s="18" t="n">
        <f aca="false">IF(ISNUMBER(C5),C5,0)</f>
        <v>0.00271739130434783</v>
      </c>
      <c r="L5" s="18" t="n">
        <f aca="false">IF(ISNUMBER(D5),D5,0)</f>
        <v>0</v>
      </c>
      <c r="M5" s="18" t="n">
        <f aca="false">IF(ISNUMBER(E5),E5,0)</f>
        <v>0</v>
      </c>
      <c r="N5" s="18" t="n">
        <f aca="false">IF(ISNUMBER(F5),F5,0)</f>
        <v>0</v>
      </c>
    </row>
    <row r="6" customFormat="false" ht="15" hidden="false" customHeight="false" outlineLevel="0" collapsed="false">
      <c r="A6" s="11" t="s">
        <v>240</v>
      </c>
      <c r="B6" s="17" t="n">
        <f aca="false">('Transition Counts'!B5+0.5)/(('Transition Counts'!B5+'Transition Counts'!C5+'Transition Counts'!D5)+0.5*3)</f>
        <v>0.111111111111111</v>
      </c>
      <c r="C6" s="17" t="n">
        <f aca="false">('Transition Counts'!C5+0.5)/(('Transition Counts'!B5+'Transition Counts'!C5+'Transition Counts'!D5)+0.5*3)</f>
        <v>0.111111111111111</v>
      </c>
      <c r="D6" s="17" t="n">
        <f aca="false">('Transition Counts'!D5+0.5)/(('Transition Counts'!B5+'Transition Counts'!C5+'Transition Counts'!D5)+0.5*3)</f>
        <v>0.777777777777778</v>
      </c>
      <c r="E6" s="13" t="s">
        <v>292</v>
      </c>
      <c r="F6" s="13" t="s">
        <v>292</v>
      </c>
      <c r="I6" s="11" t="s">
        <v>240</v>
      </c>
      <c r="J6" s="18" t="n">
        <f aca="false">IF(ISNUMBER(B6),B6,0)</f>
        <v>0.111111111111111</v>
      </c>
      <c r="K6" s="18" t="n">
        <f aca="false">IF(ISNUMBER(C6),C6,0)</f>
        <v>0.111111111111111</v>
      </c>
      <c r="L6" s="18" t="n">
        <f aca="false">IF(ISNUMBER(D6),D6,0)</f>
        <v>0.777777777777778</v>
      </c>
      <c r="M6" s="18" t="n">
        <f aca="false">IF(ISNUMBER(E6),E6,0)</f>
        <v>0</v>
      </c>
      <c r="N6" s="18" t="n">
        <f aca="false">IF(ISNUMBER(F6),F6,0)</f>
        <v>0</v>
      </c>
    </row>
    <row r="7" customFormat="false" ht="15" hidden="false" customHeight="false" outlineLevel="0" collapsed="false">
      <c r="A7" s="11" t="s">
        <v>242</v>
      </c>
      <c r="B7" s="13" t="s">
        <v>292</v>
      </c>
      <c r="C7" s="13" t="s">
        <v>292</v>
      </c>
      <c r="D7" s="17" t="n">
        <f aca="false">('Transition Counts'!D6+0.5)/(('Transition Counts'!D6+'Transition Counts'!E6)+0.5*2)</f>
        <v>0.893939393939394</v>
      </c>
      <c r="E7" s="17" t="n">
        <f aca="false">('Transition Counts'!E6+0.5)/(('Transition Counts'!D6+'Transition Counts'!E6)+0.5*2)</f>
        <v>0.106060606060606</v>
      </c>
      <c r="F7" s="13" t="s">
        <v>292</v>
      </c>
      <c r="I7" s="11" t="s">
        <v>242</v>
      </c>
      <c r="J7" s="18" t="n">
        <f aca="false">IF(ISNUMBER(B7),B7,0)</f>
        <v>0</v>
      </c>
      <c r="K7" s="18" t="n">
        <f aca="false">IF(ISNUMBER(C7),C7,0)</f>
        <v>0</v>
      </c>
      <c r="L7" s="18" t="n">
        <f aca="false">IF(ISNUMBER(D7),D7,0)</f>
        <v>0.893939393939394</v>
      </c>
      <c r="M7" s="18" t="n">
        <f aca="false">IF(ISNUMBER(E7),E7,0)</f>
        <v>0.106060606060606</v>
      </c>
      <c r="N7" s="18" t="n">
        <f aca="false">IF(ISNUMBER(F7),F7,0)</f>
        <v>0</v>
      </c>
    </row>
    <row r="8" customFormat="false" ht="15" hidden="false" customHeight="false" outlineLevel="0" collapsed="false">
      <c r="A8" s="11" t="s">
        <v>286</v>
      </c>
      <c r="B8" s="13" t="s">
        <v>292</v>
      </c>
      <c r="C8" s="13" t="s">
        <v>292</v>
      </c>
      <c r="D8" s="17" t="n">
        <f aca="false">('Transition Counts'!D7+0.5)/(('Transition Counts'!D7+'Transition Counts'!E7+'Transition Counts'!F7)+0.5*3)</f>
        <v>0.0666666666666667</v>
      </c>
      <c r="E8" s="17" t="n">
        <f aca="false">('Transition Counts'!E7+0.5)/(('Transition Counts'!D7+'Transition Counts'!E7+'Transition Counts'!F7)+0.5*3)</f>
        <v>0.466666666666667</v>
      </c>
      <c r="F8" s="17" t="n">
        <f aca="false">('Transition Counts'!F7+0.5)/(('Transition Counts'!D7+'Transition Counts'!E7+'Transition Counts'!F7)+0.5*3)</f>
        <v>0.466666666666667</v>
      </c>
      <c r="I8" s="11" t="s">
        <v>286</v>
      </c>
      <c r="J8" s="18" t="n">
        <f aca="false">IF(ISNUMBER(B8),B8,0)</f>
        <v>0</v>
      </c>
      <c r="K8" s="18" t="n">
        <f aca="false">IF(ISNUMBER(C8),C8,0)</f>
        <v>0</v>
      </c>
      <c r="L8" s="18" t="n">
        <f aca="false">IF(ISNUMBER(D8),D8,0)</f>
        <v>0.0666666666666667</v>
      </c>
      <c r="M8" s="18" t="n">
        <f aca="false">IF(ISNUMBER(E8),E8,0)</f>
        <v>0.466666666666667</v>
      </c>
      <c r="N8" s="18" t="n">
        <f aca="false">IF(ISNUMBER(F8),F8,0)</f>
        <v>0.466666666666667</v>
      </c>
    </row>
    <row r="9" customFormat="false" ht="15" hidden="false" customHeight="false" outlineLevel="0" collapsed="false">
      <c r="A9" s="11" t="s">
        <v>255</v>
      </c>
      <c r="B9" s="17" t="n">
        <f aca="false">('Transition Counts'!B8+0.5)/(('Transition Counts'!B8+'Transition Counts'!F8)+0.5*2)</f>
        <v>0.5</v>
      </c>
      <c r="C9" s="13" t="s">
        <v>292</v>
      </c>
      <c r="D9" s="13" t="s">
        <v>292</v>
      </c>
      <c r="E9" s="13" t="s">
        <v>292</v>
      </c>
      <c r="F9" s="17" t="n">
        <f aca="false">('Transition Counts'!F8+0.5)/(('Transition Counts'!B8+'Transition Counts'!F8)+0.5*2)</f>
        <v>0.5</v>
      </c>
      <c r="I9" s="11" t="s">
        <v>255</v>
      </c>
      <c r="J9" s="18" t="n">
        <f aca="false">IF(ISNUMBER(B9),B9,0)</f>
        <v>0.5</v>
      </c>
      <c r="K9" s="18" t="n">
        <f aca="false">IF(ISNUMBER(C9),C9,0)</f>
        <v>0</v>
      </c>
      <c r="L9" s="18" t="n">
        <f aca="false">IF(ISNUMBER(D9),D9,0)</f>
        <v>0</v>
      </c>
      <c r="M9" s="18" t="n">
        <f aca="false">IF(ISNUMBER(E9),E9,0)</f>
        <v>0</v>
      </c>
      <c r="N9" s="18" t="n">
        <f aca="false">IF(ISNUMBER(F9),F9,0)</f>
        <v>0.5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7" min="3" style="0" width="2"/>
    <col collapsed="false" customWidth="true" hidden="false" outlineLevel="0" max="8" min="8" style="0" width="13"/>
    <col collapsed="false" customWidth="true" hidden="false" outlineLevel="0" max="10" min="9" style="0" width="15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18"/>
    <col collapsed="false" customWidth="true" hidden="false" outlineLevel="0" max="14" min="14" style="0" width="11"/>
  </cols>
  <sheetData>
    <row r="1" customFormat="false" ht="15" hidden="false" customHeight="false" outlineLevel="0" collapsed="false">
      <c r="A1" s="10" t="s">
        <v>293</v>
      </c>
      <c r="B1" s="10"/>
      <c r="C1" s="10"/>
      <c r="D1" s="10"/>
      <c r="E1" s="10"/>
      <c r="F1" s="10"/>
      <c r="G1" s="10"/>
    </row>
    <row r="3" customFormat="false" ht="15" hidden="false" customHeight="false" outlineLevel="0" collapsed="false">
      <c r="A3" s="3" t="s">
        <v>294</v>
      </c>
      <c r="C3" s="7" t="str">
        <f aca="false">'Episode Windows'!H241</f>
        <v>RECOVERED</v>
      </c>
    </row>
    <row r="4" customFormat="false" ht="15" hidden="false" customHeight="false" outlineLevel="0" collapsed="false">
      <c r="A4" s="3" t="s">
        <v>295</v>
      </c>
      <c r="C4" s="7" t="str">
        <f aca="false">'Episode Windows'!D241</f>
        <v>2026-01-01T14:36:00</v>
      </c>
    </row>
    <row r="6" customFormat="false" ht="15" hidden="false" customHeight="false" outlineLevel="0" collapsed="false">
      <c r="A6" s="3" t="s">
        <v>296</v>
      </c>
      <c r="B6" s="19" t="s">
        <v>40</v>
      </c>
      <c r="C6" s="19" t="s">
        <v>240</v>
      </c>
      <c r="D6" s="19" t="s">
        <v>242</v>
      </c>
      <c r="E6" s="19" t="s">
        <v>286</v>
      </c>
      <c r="F6" s="19" t="s">
        <v>255</v>
      </c>
    </row>
    <row r="7" customFormat="false" ht="15" hidden="false" customHeight="false" outlineLevel="0" collapsed="false">
      <c r="B7" s="12" t="n">
        <f aca="false">IF($C$3="BASELINE_COMPATIBLE",1,0)</f>
        <v>0</v>
      </c>
      <c r="C7" s="12" t="n">
        <f aca="false">IF($C$3="DEVIATION_CANDIDATE",1,0)</f>
        <v>0</v>
      </c>
      <c r="D7" s="12" t="n">
        <f aca="false">IF($C$3="PERSISTENT_DEVIATION",1,0)</f>
        <v>0</v>
      </c>
      <c r="E7" s="12" t="n">
        <f aca="false">IF($C$3="RECOVERY_START",1,0)</f>
        <v>0</v>
      </c>
      <c r="F7" s="12" t="n">
        <f aca="false">IF($C$3="RECOVERED",1,0)</f>
        <v>1</v>
      </c>
    </row>
    <row r="9" customFormat="false" ht="15" hidden="false" customHeight="false" outlineLevel="0" collapsed="false">
      <c r="A9" s="3" t="s">
        <v>297</v>
      </c>
    </row>
    <row r="10" customFormat="false" ht="15" hidden="false" customHeight="false" outlineLevel="0" collapsed="false">
      <c r="B10" s="19" t="s">
        <v>40</v>
      </c>
      <c r="C10" s="19" t="s">
        <v>240</v>
      </c>
      <c r="D10" s="19" t="s">
        <v>242</v>
      </c>
      <c r="E10" s="19" t="s">
        <v>286</v>
      </c>
      <c r="F10" s="19" t="s">
        <v>255</v>
      </c>
    </row>
    <row r="11" customFormat="false" ht="15" hidden="false" customHeight="false" outlineLevel="0" collapsed="false">
      <c r="A11" s="11" t="s">
        <v>40</v>
      </c>
      <c r="B11" s="18" t="n">
        <f aca="false" t="array" ref="B11:F15">'Transition Matrix'!$J$5:$N$9</f>
        <v>0.997282608695652</v>
      </c>
      <c r="C11" s="18" t="n">
        <v>0.00271739130434783</v>
      </c>
      <c r="D11" s="18" t="n">
        <v>0</v>
      </c>
      <c r="E11" s="18" t="n">
        <v>0</v>
      </c>
      <c r="F11" s="18" t="n">
        <v>0</v>
      </c>
    </row>
    <row r="12" customFormat="false" ht="15" hidden="false" customHeight="false" outlineLevel="0" collapsed="false">
      <c r="A12" s="11" t="s">
        <v>240</v>
      </c>
      <c r="B12" s="18" t="n">
        <v>0.111111111111111</v>
      </c>
      <c r="C12" s="18" t="n">
        <v>0.111111111111111</v>
      </c>
      <c r="D12" s="18" t="n">
        <v>0.777777777777778</v>
      </c>
      <c r="E12" s="18" t="n">
        <v>0</v>
      </c>
      <c r="F12" s="18" t="n">
        <v>0</v>
      </c>
    </row>
    <row r="13" customFormat="false" ht="15" hidden="false" customHeight="false" outlineLevel="0" collapsed="false">
      <c r="A13" s="11" t="s">
        <v>242</v>
      </c>
      <c r="B13" s="18" t="n">
        <v>0</v>
      </c>
      <c r="C13" s="18" t="n">
        <v>0</v>
      </c>
      <c r="D13" s="18" t="n">
        <v>0.893939393939394</v>
      </c>
      <c r="E13" s="18" t="n">
        <v>0.106060606060606</v>
      </c>
      <c r="F13" s="18" t="n">
        <v>0</v>
      </c>
    </row>
    <row r="14" customFormat="false" ht="15" hidden="false" customHeight="false" outlineLevel="0" collapsed="false">
      <c r="A14" s="11" t="s">
        <v>286</v>
      </c>
      <c r="B14" s="18" t="n">
        <v>0</v>
      </c>
      <c r="C14" s="18" t="n">
        <v>0</v>
      </c>
      <c r="D14" s="18" t="n">
        <v>0.0666666666666667</v>
      </c>
      <c r="E14" s="18" t="n">
        <v>0.466666666666667</v>
      </c>
      <c r="F14" s="18" t="n">
        <v>0.466666666666667</v>
      </c>
    </row>
    <row r="15" customFormat="false" ht="15" hidden="false" customHeight="false" outlineLevel="0" collapsed="false">
      <c r="A15" s="11" t="s">
        <v>255</v>
      </c>
      <c r="B15" s="18" t="n">
        <v>0.5</v>
      </c>
      <c r="C15" s="18" t="n">
        <v>0</v>
      </c>
      <c r="D15" s="18" t="n">
        <v>0</v>
      </c>
      <c r="E15" s="18" t="n">
        <v>0</v>
      </c>
      <c r="F15" s="18" t="n">
        <v>0.5</v>
      </c>
    </row>
    <row r="17" customFormat="false" ht="15" hidden="false" customHeight="false" outlineLevel="0" collapsed="false">
      <c r="A17" s="3" t="s">
        <v>298</v>
      </c>
    </row>
    <row r="18" customFormat="false" ht="15" hidden="false" customHeight="false" outlineLevel="0" collapsed="false">
      <c r="B18" s="19" t="s">
        <v>40</v>
      </c>
      <c r="C18" s="19" t="s">
        <v>240</v>
      </c>
      <c r="D18" s="19" t="s">
        <v>242</v>
      </c>
      <c r="E18" s="19" t="s">
        <v>286</v>
      </c>
      <c r="F18" s="19" t="s">
        <v>255</v>
      </c>
    </row>
    <row r="19" customFormat="false" ht="15" hidden="false" customHeight="false" outlineLevel="0" collapsed="false">
      <c r="A19" s="11" t="s">
        <v>40</v>
      </c>
      <c r="B19" s="18" t="n">
        <f aca="false" t="array" ref="B19:F23">MMULT('Transition Matrix'!$J$5:$N$9,'Transition Matrix'!$J$5:$N$9)</f>
        <v>0.994874533973955</v>
      </c>
      <c r="C19" s="18" t="n">
        <v>0.00301193945599664</v>
      </c>
      <c r="D19" s="18" t="n">
        <v>0.00211352657004831</v>
      </c>
      <c r="E19" s="18" t="n">
        <v>0</v>
      </c>
      <c r="F19" s="18" t="n">
        <v>0</v>
      </c>
    </row>
    <row r="20" customFormat="false" ht="15" hidden="false" customHeight="false" outlineLevel="0" collapsed="false">
      <c r="A20" s="11" t="s">
        <v>240</v>
      </c>
      <c r="B20" s="18" t="n">
        <v>0.123154857756307</v>
      </c>
      <c r="C20" s="18" t="n">
        <v>0.0126476113794954</v>
      </c>
      <c r="D20" s="18" t="n">
        <v>0.781705948372615</v>
      </c>
      <c r="E20" s="18" t="n">
        <v>0.0824915824915825</v>
      </c>
      <c r="F20" s="18" t="n">
        <v>0</v>
      </c>
    </row>
    <row r="21" customFormat="false" ht="15" hidden="false" customHeight="false" outlineLevel="0" collapsed="false">
      <c r="A21" s="11" t="s">
        <v>242</v>
      </c>
      <c r="B21" s="18" t="n">
        <v>0</v>
      </c>
      <c r="C21" s="18" t="n">
        <v>0</v>
      </c>
      <c r="D21" s="18" t="n">
        <v>0.806198347107438</v>
      </c>
      <c r="E21" s="18" t="n">
        <v>0.144306703397612</v>
      </c>
      <c r="F21" s="18" t="n">
        <v>0.0494949494949495</v>
      </c>
    </row>
    <row r="22" customFormat="false" ht="15" hidden="false" customHeight="false" outlineLevel="0" collapsed="false">
      <c r="A22" s="11" t="s">
        <v>286</v>
      </c>
      <c r="B22" s="18" t="n">
        <v>0.233333333333333</v>
      </c>
      <c r="C22" s="18" t="n">
        <v>0</v>
      </c>
      <c r="D22" s="18" t="n">
        <v>0.0907070707070707</v>
      </c>
      <c r="E22" s="18" t="n">
        <v>0.224848484848485</v>
      </c>
      <c r="F22" s="18" t="n">
        <v>0.451111111111111</v>
      </c>
    </row>
    <row r="23" customFormat="false" ht="15" hidden="false" customHeight="false" outlineLevel="0" collapsed="false">
      <c r="A23" s="11" t="s">
        <v>255</v>
      </c>
      <c r="B23" s="18" t="n">
        <v>0.748641304347826</v>
      </c>
      <c r="C23" s="18" t="n">
        <v>0.00135869565217391</v>
      </c>
      <c r="D23" s="18" t="n">
        <v>0</v>
      </c>
      <c r="E23" s="18" t="n">
        <v>0</v>
      </c>
      <c r="F23" s="18" t="n">
        <v>0.25</v>
      </c>
    </row>
    <row r="25" customFormat="false" ht="15" hidden="false" customHeight="false" outlineLevel="0" collapsed="false">
      <c r="A25" s="3" t="s">
        <v>299</v>
      </c>
    </row>
    <row r="26" customFormat="false" ht="15" hidden="false" customHeight="false" outlineLevel="0" collapsed="false">
      <c r="B26" s="19" t="s">
        <v>40</v>
      </c>
      <c r="C26" s="19" t="s">
        <v>240</v>
      </c>
      <c r="D26" s="19" t="s">
        <v>242</v>
      </c>
      <c r="E26" s="19" t="s">
        <v>286</v>
      </c>
      <c r="F26" s="19" t="s">
        <v>255</v>
      </c>
    </row>
    <row r="27" customFormat="false" ht="15" hidden="false" customHeight="false" outlineLevel="0" collapsed="false">
      <c r="A27" s="11" t="s">
        <v>40</v>
      </c>
      <c r="B27" s="18" t="n">
        <f aca="false" t="array" ref="B27:F31">MMULT($B$19:$F$23,'Transition Matrix'!$J$5:$N$9)</f>
        <v>0.992505730505972</v>
      </c>
      <c r="C27" s="18" t="n">
        <v>0.0030381233470931</v>
      </c>
      <c r="D27" s="18" t="n">
        <v>0.00423198423799007</v>
      </c>
      <c r="E27" s="18" t="n">
        <v>0.000224161908944518</v>
      </c>
      <c r="F27" s="18" t="n">
        <v>0</v>
      </c>
    </row>
    <row r="28" customFormat="false" ht="15" hidden="false" customHeight="false" outlineLevel="0" collapsed="false">
      <c r="A28" s="11" t="s">
        <v>240</v>
      </c>
      <c r="B28" s="18" t="n">
        <v>0.124225487970029</v>
      </c>
      <c r="C28" s="18" t="n">
        <v>0.00173995009283245</v>
      </c>
      <c r="D28" s="18" t="n">
        <v>0.714134211632748</v>
      </c>
      <c r="E28" s="18" t="n">
        <v>0.121404278474986</v>
      </c>
      <c r="F28" s="18" t="n">
        <v>0.0384960718294052</v>
      </c>
    </row>
    <row r="29" customFormat="false" ht="15" hidden="false" customHeight="false" outlineLevel="0" collapsed="false">
      <c r="A29" s="11" t="s">
        <v>242</v>
      </c>
      <c r="B29" s="18" t="n">
        <v>0.0247474747474747</v>
      </c>
      <c r="C29" s="18" t="n">
        <v>0</v>
      </c>
      <c r="D29" s="18" t="n">
        <v>0.730312908701339</v>
      </c>
      <c r="E29" s="18" t="n">
        <v>0.152849013551493</v>
      </c>
      <c r="F29" s="18" t="n">
        <v>0.0920906029996939</v>
      </c>
    </row>
    <row r="30" customFormat="false" ht="15" hidden="false" customHeight="false" outlineLevel="0" collapsed="false">
      <c r="A30" s="11" t="s">
        <v>286</v>
      </c>
      <c r="B30" s="18" t="n">
        <v>0.458254830917874</v>
      </c>
      <c r="C30" s="18" t="n">
        <v>0.000634057971014493</v>
      </c>
      <c r="D30" s="18" t="n">
        <v>0.0960765228037955</v>
      </c>
      <c r="E30" s="18" t="n">
        <v>0.114549739822467</v>
      </c>
      <c r="F30" s="18" t="n">
        <v>0.330484848484849</v>
      </c>
    </row>
    <row r="31" customFormat="false" ht="15" hidden="false" customHeight="false" outlineLevel="0" collapsed="false">
      <c r="A31" s="11" t="s">
        <v>255</v>
      </c>
      <c r="B31" s="18" t="n">
        <v>0.871757919160891</v>
      </c>
      <c r="C31" s="18" t="n">
        <v>0.00218531755408528</v>
      </c>
      <c r="D31" s="18" t="n">
        <v>0.00105676328502415</v>
      </c>
      <c r="E31" s="18" t="n">
        <v>0</v>
      </c>
      <c r="F31" s="18" t="n">
        <v>0.125</v>
      </c>
    </row>
    <row r="33" customFormat="false" ht="15" hidden="false" customHeight="false" outlineLevel="0" collapsed="false">
      <c r="A33" s="3" t="s">
        <v>300</v>
      </c>
    </row>
    <row r="34" customFormat="false" ht="15" hidden="false" customHeight="false" outlineLevel="0" collapsed="false">
      <c r="B34" s="19" t="s">
        <v>40</v>
      </c>
      <c r="C34" s="19" t="s">
        <v>240</v>
      </c>
      <c r="D34" s="19" t="s">
        <v>242</v>
      </c>
      <c r="E34" s="19" t="s">
        <v>286</v>
      </c>
      <c r="F34" s="19" t="s">
        <v>255</v>
      </c>
    </row>
    <row r="35" customFormat="false" ht="15" hidden="false" customHeight="false" outlineLevel="0" collapsed="false">
      <c r="A35" s="11" t="s">
        <v>40</v>
      </c>
      <c r="B35" s="18" t="n">
        <f aca="false" t="array" ref="B35:F39">MMULT($B$27:$F$31,$B$27:$F$31)</f>
        <v>0.985652491643243</v>
      </c>
      <c r="C35" s="18" t="n">
        <v>0.00302078314661887</v>
      </c>
      <c r="D35" s="18" t="n">
        <v>0.00948210584411666</v>
      </c>
      <c r="E35" s="18" t="n">
        <v>0.00126385545655039</v>
      </c>
      <c r="F35" s="18" t="n">
        <v>0.000580763909471598</v>
      </c>
    </row>
    <row r="36" customFormat="false" ht="15" hidden="false" customHeight="false" outlineLevel="0" collapsed="false">
      <c r="A36" s="11" t="s">
        <v>240</v>
      </c>
      <c r="B36" s="18" t="n">
        <v>0.230377025782301</v>
      </c>
      <c r="C36" s="18" t="n">
        <v>0.000541543273645781</v>
      </c>
      <c r="D36" s="18" t="n">
        <v>0.535014493660228</v>
      </c>
      <c r="E36" s="18" t="n">
        <v>0.123300622312208</v>
      </c>
      <c r="F36" s="18" t="n">
        <v>0.110766314971618</v>
      </c>
    </row>
    <row r="37" customFormat="false" ht="15" hidden="false" customHeight="false" outlineLevel="0" collapsed="false">
      <c r="A37" s="11" t="s">
        <v>242</v>
      </c>
      <c r="B37" s="18" t="n">
        <v>0.19295992207455</v>
      </c>
      <c r="C37" s="18" t="n">
        <v>0.000373348227517456</v>
      </c>
      <c r="D37" s="18" t="n">
        <v>0.548244195243034</v>
      </c>
      <c r="E37" s="18" t="n">
        <v>0.129141969854546</v>
      </c>
      <c r="F37" s="18" t="n">
        <v>0.129280564600352</v>
      </c>
    </row>
    <row r="38" customFormat="false" ht="15" hidden="false" customHeight="false" outlineLevel="0" collapsed="false">
      <c r="A38" s="11" t="s">
        <v>286</v>
      </c>
      <c r="B38" s="18" t="n">
        <v>0.797872718684183</v>
      </c>
      <c r="C38" s="18" t="n">
        <v>0.00218818344632055</v>
      </c>
      <c r="D38" s="18" t="n">
        <v>0.0839128394817952</v>
      </c>
      <c r="E38" s="18" t="n">
        <v>0.0279865452575765</v>
      </c>
      <c r="F38" s="18" t="n">
        <v>0.0880397131301245</v>
      </c>
    </row>
    <row r="39" customFormat="false" ht="15" hidden="false" customHeight="false" outlineLevel="0" collapsed="false">
      <c r="A39" s="11" t="s">
        <v>255</v>
      </c>
      <c r="B39" s="18" t="n">
        <v>0.974492094638494</v>
      </c>
      <c r="C39" s="18" t="n">
        <v>0.00292547512495776</v>
      </c>
      <c r="D39" s="18" t="n">
        <v>0.00615373908100859</v>
      </c>
      <c r="E39" s="18" t="n">
        <v>0.000622247045862426</v>
      </c>
      <c r="F39" s="18" t="n">
        <v>0.0158064441096779</v>
      </c>
    </row>
    <row r="42" customFormat="false" ht="15" hidden="false" customHeight="false" outlineLevel="0" collapsed="false">
      <c r="A42" s="3" t="s">
        <v>301</v>
      </c>
    </row>
    <row r="43" customFormat="false" ht="23.85" hidden="false" customHeight="false" outlineLevel="0" collapsed="false">
      <c r="A43" s="5" t="s">
        <v>302</v>
      </c>
      <c r="B43" s="5" t="s">
        <v>303</v>
      </c>
      <c r="H43" s="5" t="s">
        <v>40</v>
      </c>
      <c r="I43" s="5" t="s">
        <v>240</v>
      </c>
      <c r="J43" s="5" t="s">
        <v>242</v>
      </c>
      <c r="K43" s="5" t="s">
        <v>286</v>
      </c>
      <c r="L43" s="5" t="s">
        <v>255</v>
      </c>
      <c r="M43" s="5" t="s">
        <v>304</v>
      </c>
      <c r="N43" s="5" t="s">
        <v>305</v>
      </c>
    </row>
    <row r="44" customFormat="false" ht="15" hidden="false" customHeight="false" outlineLevel="0" collapsed="false">
      <c r="A44" s="6" t="n">
        <v>1</v>
      </c>
      <c r="B44" s="6" t="s">
        <v>306</v>
      </c>
      <c r="H44" s="18" t="n">
        <f aca="false">B$7*B$11+C$7*B$12+D$7*B$13+E$7*B$14+F$7*B$15</f>
        <v>0.5</v>
      </c>
      <c r="I44" s="18" t="n">
        <f aca="false">B$7*C$11+C$7*C$12+D$7*C$13+E$7*C$14+F$7*C$15</f>
        <v>0</v>
      </c>
      <c r="J44" s="18" t="n">
        <f aca="false">B$7*D$11+C$7*D$12+D$7*D$13+E$7*D$14+F$7*D$15</f>
        <v>0</v>
      </c>
      <c r="K44" s="18" t="n">
        <f aca="false">B$7*E$11+C$7*E$12+D$7*E$13+E$7*E$14+F$7*E$15</f>
        <v>0</v>
      </c>
      <c r="L44" s="18" t="n">
        <f aca="false">B$7*F$11+C$7*F$12+D$7*F$13+E$7*F$14+F$7*F$15</f>
        <v>0.5</v>
      </c>
      <c r="M44" s="20" t="str">
        <f aca="false">INDEX($B$10:$F$10,MATCH(MAX(H44:L44),H44:L44,0))</f>
        <v>BASELINE_COMPATIBLE</v>
      </c>
      <c r="N44" s="21" t="n">
        <f aca="false">MAX(H44:L44)</f>
        <v>0.5</v>
      </c>
    </row>
    <row r="45" customFormat="false" ht="15" hidden="false" customHeight="false" outlineLevel="0" collapsed="false">
      <c r="A45" s="6" t="n">
        <v>3</v>
      </c>
      <c r="B45" s="6" t="s">
        <v>307</v>
      </c>
      <c r="H45" s="18" t="n">
        <f aca="false">B$7*B$27+C$7*B$28+D$7*B$29+E$7*B$30+F$7*B$31</f>
        <v>0.871757919160891</v>
      </c>
      <c r="I45" s="18" t="n">
        <f aca="false">B$7*C$27+C$7*C$28+D$7*C$29+E$7*C$30+F$7*C$31</f>
        <v>0.00218531755408528</v>
      </c>
      <c r="J45" s="18" t="n">
        <f aca="false">B$7*D$27+C$7*D$28+D$7*D$29+E$7*D$30+F$7*D$31</f>
        <v>0.00105676328502415</v>
      </c>
      <c r="K45" s="18" t="n">
        <f aca="false">B$7*E$27+C$7*E$28+D$7*E$29+E$7*E$30+F$7*E$31</f>
        <v>0</v>
      </c>
      <c r="L45" s="18" t="n">
        <f aca="false">B$7*F$27+C$7*F$28+D$7*F$29+E$7*F$30+F$7*F$31</f>
        <v>0.125</v>
      </c>
      <c r="M45" s="20" t="str">
        <f aca="false">INDEX($B$10:$F$10,MATCH(MAX(H45:L45),H45:L45,0))</f>
        <v>BASELINE_COMPATIBLE</v>
      </c>
      <c r="N45" s="21" t="n">
        <f aca="false">MAX(H45:L45)</f>
        <v>0.871757919160891</v>
      </c>
    </row>
    <row r="46" customFormat="false" ht="15" hidden="false" customHeight="false" outlineLevel="0" collapsed="false">
      <c r="A46" s="6" t="n">
        <v>6</v>
      </c>
      <c r="B46" s="6" t="s">
        <v>308</v>
      </c>
      <c r="H46" s="18" t="n">
        <f aca="false">B$7*B$35+C$7*B$36+D$7*B$37+E$7*B$38+F$7*B$39</f>
        <v>0.974492094638494</v>
      </c>
      <c r="I46" s="18" t="n">
        <f aca="false">B$7*C$35+C$7*C$36+D$7*C$37+E$7*C$38+F$7*C$39</f>
        <v>0.00292547512495776</v>
      </c>
      <c r="J46" s="18" t="n">
        <f aca="false">B$7*D$35+C$7*D$36+D$7*D$37+E$7*D$38+F$7*D$39</f>
        <v>0.00615373908100859</v>
      </c>
      <c r="K46" s="18" t="n">
        <f aca="false">B$7*E$35+C$7*E$36+D$7*E$37+E$7*E$38+F$7*E$39</f>
        <v>0.000622247045862426</v>
      </c>
      <c r="L46" s="18" t="n">
        <f aca="false">B$7*F$35+C$7*F$36+D$7*F$37+E$7*F$38+F$7*F$39</f>
        <v>0.0158064441096779</v>
      </c>
      <c r="M46" s="20" t="str">
        <f aca="false">INDEX($B$10:$F$10,MATCH(MAX(H46:L46),H46:L46,0))</f>
        <v>BASELINE_COMPATIBLE</v>
      </c>
      <c r="N46" s="21" t="n">
        <f aca="false">MAX(H46:L46)</f>
        <v>0.974492094638494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2026-08-23T05:29:51Z</dcterms:created>
  <dc:creator>openpyxl</dc:creator>
  <dc:description/>
  <dc:language>en-US</dc:language>
  <cp:lastModifiedBy/>
  <dcterms:modified xsi:type="dcterms:W3CDTF">2026-08-23T05:29:51Z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